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xml" ContentType="application/vnd.ms-excel.controlproperties+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F:\Kareem\CongonRise\Task 2 (80 CEREALS)\"/>
    </mc:Choice>
  </mc:AlternateContent>
  <xr:revisionPtr revIDLastSave="0" documentId="13_ncr:1_{DAC5CE7B-48AD-4656-965F-1C8AD36E78C4}" xr6:coauthVersionLast="47" xr6:coauthVersionMax="47" xr10:uidLastSave="{00000000-0000-0000-0000-000000000000}"/>
  <bookViews>
    <workbookView xWindow="-108" yWindow="-108" windowWidth="23256" windowHeight="12456" activeTab="3" xr2:uid="{2C92FC8C-A93A-4AFE-BE8B-EB9CCD96BE1D}"/>
  </bookViews>
  <sheets>
    <sheet name="80 CEREALS" sheetId="4" r:id="rId1"/>
    <sheet name="Nutrient Density" sheetId="5" r:id="rId2"/>
    <sheet name="WorkSheet" sheetId="1" r:id="rId3"/>
    <sheet name="Dashboard" sheetId="6" r:id="rId4"/>
    <sheet name="Detailed view" sheetId="7" r:id="rId5"/>
  </sheets>
  <definedNames>
    <definedName name="ExternalData_1" localSheetId="0" hidden="1">'80 CEREALS'!$A$1:$O$78</definedName>
    <definedName name="ExternalData_2" localSheetId="1" hidden="1">'Nutrient Density'!$A$1:$N$78</definedName>
    <definedName name="Slicer_Manufacturer_Of_Cereal">#N/A</definedName>
    <definedName name="Slicer_Manufacturer_Of_Cereal1">#N/A</definedName>
    <definedName name="Slicer_Nutrient_Density_Category">#N/A</definedName>
    <definedName name="Slicer_Nutrient_Density_Category1">#N/A</definedName>
    <definedName name="Slicer_Type">#N/A</definedName>
    <definedName name="Slicer_Type1">#N/A</definedName>
  </definedNames>
  <calcPr calcId="191029"/>
  <pivotCaches>
    <pivotCache cacheId="0" r:id="rId6"/>
    <pivotCache cacheId="1" r:id="rId7"/>
    <pivotCache cacheId="2" r:id="rId8"/>
    <pivotCache cacheId="3" r:id="rId9"/>
    <pivotCache cacheId="4" r:id="rId10"/>
    <pivotCache cacheId="71" r:id="rId11"/>
    <pivotCache cacheId="74" r:id="rId12"/>
  </pivotCaches>
  <extLst>
    <ext xmlns:x14="http://schemas.microsoft.com/office/spreadsheetml/2009/9/main" uri="{876F7934-8845-4945-9796-88D515C7AA90}">
      <x14:pivotCaches>
        <pivotCache cacheId="7" r:id="rId13"/>
        <pivotCache cacheId="8" r:id="rId14"/>
      </x14:pivotCaches>
    </ext>
    <ext xmlns:x14="http://schemas.microsoft.com/office/spreadsheetml/2009/9/main" uri="{BBE1A952-AA13-448e-AADC-164F8A28A991}">
      <x14:slicerCaches>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80 CEREALS_ddc7e080-3460-48a6-bae7-da838f6212eb" name="80 CEREALS" connection="Query - 80 CEREALS"/>
          <x15:modelTable id="Nutrient Density_aa09d0b9-913e-44c2-ab6f-175bd5d0b8e7" name="Nutrient Density" connection="Query - Nutrient Density"/>
        </x15:modelTables>
        <x15:modelRelationships>
          <x15:modelRelationship fromTable="80 CEREALS" fromColumn="Cereal Name" toTable="Nutrient Density" toColumn="Cereal 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2" i="7" l="1"/>
  <c r="I12" i="7"/>
  <c r="J12" i="7"/>
  <c r="K12" i="7"/>
  <c r="L12" i="7"/>
  <c r="M12" i="7"/>
  <c r="N12" i="7"/>
  <c r="O12" i="7"/>
  <c r="P12" i="7"/>
  <c r="Q12" i="7"/>
  <c r="R12" i="7"/>
  <c r="H13" i="7"/>
  <c r="I13" i="7"/>
  <c r="J13" i="7"/>
  <c r="K13" i="7"/>
  <c r="L13" i="7"/>
  <c r="M13" i="7"/>
  <c r="N13" i="7"/>
  <c r="O13" i="7"/>
  <c r="P13" i="7"/>
  <c r="Q13" i="7"/>
  <c r="R13" i="7"/>
  <c r="H14" i="7"/>
  <c r="I14" i="7"/>
  <c r="J14" i="7"/>
  <c r="K14" i="7"/>
  <c r="L14" i="7"/>
  <c r="M14" i="7"/>
  <c r="N14" i="7"/>
  <c r="O14" i="7"/>
  <c r="P14" i="7"/>
  <c r="Q14" i="7"/>
  <c r="R14" i="7"/>
  <c r="H15" i="7"/>
  <c r="I15" i="7"/>
  <c r="J15" i="7"/>
  <c r="K15" i="7"/>
  <c r="L15" i="7"/>
  <c r="M15" i="7"/>
  <c r="N15" i="7"/>
  <c r="O15" i="7"/>
  <c r="P15" i="7"/>
  <c r="Q15" i="7"/>
  <c r="R15" i="7"/>
  <c r="H16" i="7"/>
  <c r="I16" i="7"/>
  <c r="J16" i="7"/>
  <c r="K16" i="7"/>
  <c r="L16" i="7"/>
  <c r="M16" i="7"/>
  <c r="N16" i="7"/>
  <c r="O16" i="7"/>
  <c r="P16" i="7"/>
  <c r="Q16" i="7"/>
  <c r="R16" i="7"/>
  <c r="H17" i="7"/>
  <c r="I17" i="7"/>
  <c r="J17" i="7"/>
  <c r="K17" i="7"/>
  <c r="L17" i="7"/>
  <c r="M17" i="7"/>
  <c r="N17" i="7"/>
  <c r="O17" i="7"/>
  <c r="P17" i="7"/>
  <c r="Q17" i="7"/>
  <c r="R17" i="7"/>
  <c r="H18" i="7"/>
  <c r="I18" i="7"/>
  <c r="J18" i="7"/>
  <c r="K18" i="7"/>
  <c r="L18" i="7"/>
  <c r="M18" i="7"/>
  <c r="N18" i="7"/>
  <c r="O18" i="7"/>
  <c r="P18" i="7"/>
  <c r="Q18" i="7"/>
  <c r="R18" i="7"/>
  <c r="H19" i="7"/>
  <c r="I19" i="7"/>
  <c r="J19" i="7"/>
  <c r="K19" i="7"/>
  <c r="L19" i="7"/>
  <c r="M19" i="7"/>
  <c r="N19" i="7"/>
  <c r="O19" i="7"/>
  <c r="P19" i="7"/>
  <c r="Q19" i="7"/>
  <c r="R19" i="7"/>
  <c r="H20" i="7"/>
  <c r="I20" i="7"/>
  <c r="J20" i="7"/>
  <c r="K20" i="7"/>
  <c r="L20" i="7"/>
  <c r="M20" i="7"/>
  <c r="N20" i="7"/>
  <c r="O20" i="7"/>
  <c r="P20" i="7"/>
  <c r="Q20" i="7"/>
  <c r="R20" i="7"/>
  <c r="H21" i="7"/>
  <c r="I21" i="7"/>
  <c r="J21" i="7"/>
  <c r="K21" i="7"/>
  <c r="L21" i="7"/>
  <c r="M21" i="7"/>
  <c r="N21" i="7"/>
  <c r="O21" i="7"/>
  <c r="P21" i="7"/>
  <c r="Q21" i="7"/>
  <c r="R21" i="7"/>
  <c r="H22" i="7"/>
  <c r="I22" i="7"/>
  <c r="J22" i="7"/>
  <c r="K22" i="7"/>
  <c r="L22" i="7"/>
  <c r="M22" i="7"/>
  <c r="N22" i="7"/>
  <c r="O22" i="7"/>
  <c r="P22" i="7"/>
  <c r="Q22" i="7"/>
  <c r="R22" i="7"/>
  <c r="H23" i="7"/>
  <c r="I23" i="7"/>
  <c r="J23" i="7"/>
  <c r="K23" i="7"/>
  <c r="L23" i="7"/>
  <c r="M23" i="7"/>
  <c r="N23" i="7"/>
  <c r="O23" i="7"/>
  <c r="P23" i="7"/>
  <c r="Q23" i="7"/>
  <c r="R23" i="7"/>
  <c r="H24" i="7"/>
  <c r="I24" i="7"/>
  <c r="J24" i="7"/>
  <c r="K24" i="7"/>
  <c r="L24" i="7"/>
  <c r="M24" i="7"/>
  <c r="N24" i="7"/>
  <c r="O24" i="7"/>
  <c r="P24" i="7"/>
  <c r="Q24" i="7"/>
  <c r="R24" i="7"/>
  <c r="H25" i="7"/>
  <c r="I25" i="7"/>
  <c r="J25" i="7"/>
  <c r="K25" i="7"/>
  <c r="L25" i="7"/>
  <c r="M25" i="7"/>
  <c r="N25" i="7"/>
  <c r="O25" i="7"/>
  <c r="P25" i="7"/>
  <c r="Q25" i="7"/>
  <c r="R25" i="7"/>
  <c r="H26" i="7"/>
  <c r="I26" i="7"/>
  <c r="J26" i="7"/>
  <c r="K26" i="7"/>
  <c r="L26" i="7"/>
  <c r="M26" i="7"/>
  <c r="N26" i="7"/>
  <c r="O26" i="7"/>
  <c r="P26" i="7"/>
  <c r="Q26" i="7"/>
  <c r="R26" i="7"/>
  <c r="H27" i="7"/>
  <c r="I27" i="7"/>
  <c r="J27" i="7"/>
  <c r="K27" i="7"/>
  <c r="L27" i="7"/>
  <c r="M27" i="7"/>
  <c r="N27" i="7"/>
  <c r="O27" i="7"/>
  <c r="P27" i="7"/>
  <c r="Q27" i="7"/>
  <c r="R27" i="7"/>
  <c r="H28" i="7"/>
  <c r="I28" i="7"/>
  <c r="J28" i="7"/>
  <c r="K28" i="7"/>
  <c r="L28" i="7"/>
  <c r="M28" i="7"/>
  <c r="N28" i="7"/>
  <c r="O28" i="7"/>
  <c r="P28" i="7"/>
  <c r="Q28" i="7"/>
  <c r="R28" i="7"/>
  <c r="H29" i="7"/>
  <c r="I29" i="7"/>
  <c r="J29" i="7"/>
  <c r="K29" i="7"/>
  <c r="L29" i="7"/>
  <c r="M29" i="7"/>
  <c r="N29" i="7"/>
  <c r="O29" i="7"/>
  <c r="P29" i="7"/>
  <c r="Q29" i="7"/>
  <c r="R29" i="7"/>
  <c r="H30" i="7"/>
  <c r="I30" i="7"/>
  <c r="J30" i="7"/>
  <c r="K30" i="7"/>
  <c r="L30" i="7"/>
  <c r="M30" i="7"/>
  <c r="N30" i="7"/>
  <c r="O30" i="7"/>
  <c r="P30" i="7"/>
  <c r="Q30" i="7"/>
  <c r="R30" i="7"/>
  <c r="H31" i="7"/>
  <c r="I31" i="7"/>
  <c r="J31" i="7"/>
  <c r="K31" i="7"/>
  <c r="L31" i="7"/>
  <c r="M31" i="7"/>
  <c r="N31" i="7"/>
  <c r="O31" i="7"/>
  <c r="P31" i="7"/>
  <c r="Q31" i="7"/>
  <c r="R31" i="7"/>
  <c r="H32" i="7"/>
  <c r="I32" i="7"/>
  <c r="J32" i="7"/>
  <c r="K32" i="7"/>
  <c r="L32" i="7"/>
  <c r="M32" i="7"/>
  <c r="N32" i="7"/>
  <c r="O32" i="7"/>
  <c r="P32" i="7"/>
  <c r="Q32" i="7"/>
  <c r="R32" i="7"/>
  <c r="H33" i="7"/>
  <c r="I33" i="7"/>
  <c r="J33" i="7"/>
  <c r="K33" i="7"/>
  <c r="L33" i="7"/>
  <c r="M33" i="7"/>
  <c r="N33" i="7"/>
  <c r="O33" i="7"/>
  <c r="P33" i="7"/>
  <c r="Q33" i="7"/>
  <c r="R33" i="7"/>
  <c r="H34" i="7"/>
  <c r="I34" i="7"/>
  <c r="J34" i="7"/>
  <c r="K34" i="7"/>
  <c r="L34" i="7"/>
  <c r="M34" i="7"/>
  <c r="N34" i="7"/>
  <c r="O34" i="7"/>
  <c r="P34" i="7"/>
  <c r="Q34" i="7"/>
  <c r="R34" i="7"/>
  <c r="H35" i="7"/>
  <c r="I35" i="7"/>
  <c r="J35" i="7"/>
  <c r="K35" i="7"/>
  <c r="L35" i="7"/>
  <c r="M35" i="7"/>
  <c r="N35" i="7"/>
  <c r="O35" i="7"/>
  <c r="P35" i="7"/>
  <c r="Q35" i="7"/>
  <c r="R35" i="7"/>
  <c r="I11" i="7"/>
  <c r="J11" i="7"/>
  <c r="K11" i="7"/>
  <c r="L11" i="7"/>
  <c r="M11" i="7"/>
  <c r="N11" i="7"/>
  <c r="O11" i="7"/>
  <c r="P11" i="7"/>
  <c r="Q11" i="7"/>
  <c r="R11" i="7"/>
  <c r="H11" i="7"/>
  <c r="G12" i="7"/>
  <c r="G13" i="7"/>
  <c r="G14" i="7"/>
  <c r="G15" i="7"/>
  <c r="G16" i="7"/>
  <c r="G17" i="7"/>
  <c r="G18" i="7"/>
  <c r="G19" i="7"/>
  <c r="G20" i="7"/>
  <c r="G21" i="7"/>
  <c r="G22" i="7"/>
  <c r="G23" i="7"/>
  <c r="G24" i="7"/>
  <c r="G25" i="7"/>
  <c r="G26" i="7"/>
  <c r="G27" i="7"/>
  <c r="G28" i="7"/>
  <c r="G29" i="7"/>
  <c r="G30" i="7"/>
  <c r="G31" i="7"/>
  <c r="G32" i="7"/>
  <c r="G33" i="7"/>
  <c r="G34" i="7"/>
  <c r="G35" i="7"/>
  <c r="G11" i="7"/>
  <c r="AK13" i="1"/>
  <c r="AL13" i="1"/>
  <c r="AL12" i="1"/>
  <c r="AK12" i="1"/>
  <c r="O42" i="1"/>
  <c r="N42" i="1"/>
  <c r="L43" i="1"/>
  <c r="M43" i="1"/>
  <c r="M42" i="1"/>
  <c r="L42" i="1"/>
  <c r="O43" i="1"/>
  <c r="N4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C6DD22-9450-4ECF-B108-F6435A22B0CC}" keepAlive="1" name="ModelConnection_ExternalData_1" description="Data Model" type="5" refreshedVersion="8" minRefreshableVersion="5" saveData="1">
    <dbPr connection="Data Model Connection" command="80 CEREALS" commandType="3"/>
    <extLst>
      <ext xmlns:x15="http://schemas.microsoft.com/office/spreadsheetml/2010/11/main" uri="{DE250136-89BD-433C-8126-D09CA5730AF9}">
        <x15:connection id="" model="1"/>
      </ext>
    </extLst>
  </connection>
  <connection id="2" xr16:uid="{56336431-7748-40F3-9EA5-92BC8F7492A0}" keepAlive="1" name="ModelConnection_ExternalData_2" description="Data Model" type="5" refreshedVersion="8" minRefreshableVersion="5" saveData="1">
    <dbPr connection="Data Model Connection" command="Nutrient Density" commandType="3"/>
    <extLst>
      <ext xmlns:x15="http://schemas.microsoft.com/office/spreadsheetml/2010/11/main" uri="{DE250136-89BD-433C-8126-D09CA5730AF9}">
        <x15:connection id="" model="1"/>
      </ext>
    </extLst>
  </connection>
  <connection id="3" xr16:uid="{5951D076-5395-4DD2-9F1D-D8ABD159B141}" name="Query - 80 CEREALS" description="Connection to the '80 CEREALS' query in the workbook." type="100" refreshedVersion="8" minRefreshableVersion="5">
    <extLst>
      <ext xmlns:x15="http://schemas.microsoft.com/office/spreadsheetml/2010/11/main" uri="{DE250136-89BD-433C-8126-D09CA5730AF9}">
        <x15:connection id="ab4e9245-6a4a-4b53-acb8-725af806350a"/>
      </ext>
    </extLst>
  </connection>
  <connection id="4" xr16:uid="{DE0C8F43-EB1D-4914-91F5-5164E8EEBF67}" name="Query - Nutrient Density" description="Connection to the 'Nutrient Density' query in the workbook." type="100" refreshedVersion="8" minRefreshableVersion="5">
    <extLst>
      <ext xmlns:x15="http://schemas.microsoft.com/office/spreadsheetml/2010/11/main" uri="{DE250136-89BD-433C-8126-D09CA5730AF9}">
        <x15:connection id="2ec74459-ba2a-42bd-b275-1d8d8801a20c"/>
      </ext>
    </extLst>
  </connection>
  <connection id="5" xr16:uid="{15957F3D-A0DC-4F98-A4D4-721AD071DAE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<sst xmlns="http://schemas.openxmlformats.org/spreadsheetml/2006/main" count="576" uniqueCount="126">
  <si>
    <t>Cereal Name</t>
  </si>
  <si>
    <t>Manufacturer Of Cereal</t>
  </si>
  <si>
    <t>Type</t>
  </si>
  <si>
    <t>Calories</t>
  </si>
  <si>
    <t>Protein</t>
  </si>
  <si>
    <t>Sugars</t>
  </si>
  <si>
    <t>Vitamins</t>
  </si>
  <si>
    <t>Shelf</t>
  </si>
  <si>
    <t>Rating</t>
  </si>
  <si>
    <t>100% Bran</t>
  </si>
  <si>
    <t>100% Natural Bran</t>
  </si>
  <si>
    <t>All-Bran</t>
  </si>
  <si>
    <t>All-Bran with Extra Fiber</t>
  </si>
  <si>
    <t>Almond Delight</t>
  </si>
  <si>
    <t>Apple Cinnamon Cheerios</t>
  </si>
  <si>
    <t>Apple Jacks</t>
  </si>
  <si>
    <t>Basic 4</t>
  </si>
  <si>
    <t>Bran Chex</t>
  </si>
  <si>
    <t>Bran Flakes</t>
  </si>
  <si>
    <t>Cap'n'Crunch</t>
  </si>
  <si>
    <t>Cheerios</t>
  </si>
  <si>
    <t>Cinnamon Toast Crunch</t>
  </si>
  <si>
    <t>Clusters</t>
  </si>
  <si>
    <t>Cocoa Puffs</t>
  </si>
  <si>
    <t>Corn Chex</t>
  </si>
  <si>
    <t>Corn Flakes</t>
  </si>
  <si>
    <t>Corn Pops</t>
  </si>
  <si>
    <t>Count Chocula</t>
  </si>
  <si>
    <t>Cracklin' Oat Bran</t>
  </si>
  <si>
    <t>Cream of Wheat (Quick)</t>
  </si>
  <si>
    <t>Crispix</t>
  </si>
  <si>
    <t>Crispy Wheat &amp; Raisins</t>
  </si>
  <si>
    <t>Double Chex</t>
  </si>
  <si>
    <t>Froot Loops</t>
  </si>
  <si>
    <t>Frosted Flakes</t>
  </si>
  <si>
    <t>Frosted Mini-Wheats</t>
  </si>
  <si>
    <t>Fruit &amp; Fibre Dates; Walnuts; and Oats</t>
  </si>
  <si>
    <t>Fruitful Bran</t>
  </si>
  <si>
    <t>Fruity Pebbles</t>
  </si>
  <si>
    <t>Golden Crisp</t>
  </si>
  <si>
    <t>Golden Grahams</t>
  </si>
  <si>
    <t>Grape Nuts Flakes</t>
  </si>
  <si>
    <t>Grape-Nuts</t>
  </si>
  <si>
    <t>Great Grains Pecan</t>
  </si>
  <si>
    <t>Honey Graham Ohs</t>
  </si>
  <si>
    <t>Honey Nut Cheerios</t>
  </si>
  <si>
    <t>Honey-comb</t>
  </si>
  <si>
    <t>Just Right Crunchy  Nuggets</t>
  </si>
  <si>
    <t>Just Right Fruit &amp; Nut</t>
  </si>
  <si>
    <t>Kix</t>
  </si>
  <si>
    <t>Life</t>
  </si>
  <si>
    <t>Lucky Charms</t>
  </si>
  <si>
    <t>Maypo</t>
  </si>
  <si>
    <t>Muesli Raisins; Dates; &amp; Almonds</t>
  </si>
  <si>
    <t>Muesli Raisins; Peaches; &amp; Pecans</t>
  </si>
  <si>
    <t>Mueslix Crispy Blend</t>
  </si>
  <si>
    <t>Multi-Grain Cheerios</t>
  </si>
  <si>
    <t>Nut&amp;Honey Crunch</t>
  </si>
  <si>
    <t>Nutri-Grain Almond-Raisin</t>
  </si>
  <si>
    <t>Nutri-grain Wheat</t>
  </si>
  <si>
    <t>Oatmeal Raisin Crisp</t>
  </si>
  <si>
    <t>Post Nat. Raisin Bran</t>
  </si>
  <si>
    <t>Product 19</t>
  </si>
  <si>
    <t>Puffed Rice</t>
  </si>
  <si>
    <t>Puffed Wheat</t>
  </si>
  <si>
    <t>Quaker Oat Squares</t>
  </si>
  <si>
    <t>Quaker Oatmeal</t>
  </si>
  <si>
    <t>Raisin Bran</t>
  </si>
  <si>
    <t>Raisin Nut Bran</t>
  </si>
  <si>
    <t>Raisin Squares</t>
  </si>
  <si>
    <t>Rice Chex</t>
  </si>
  <si>
    <t>Rice Krispies</t>
  </si>
  <si>
    <t>Shredded Wheat</t>
  </si>
  <si>
    <t>Shredded Wheat 'n'Bran</t>
  </si>
  <si>
    <t>Shredded Wheat spoon size</t>
  </si>
  <si>
    <t>Smacks</t>
  </si>
  <si>
    <t>Special K</t>
  </si>
  <si>
    <t>Strawberry Fruit Wheats</t>
  </si>
  <si>
    <t>Total Corn Flakes</t>
  </si>
  <si>
    <t>Total Raisin Bran</t>
  </si>
  <si>
    <t>Total Whole Grain</t>
  </si>
  <si>
    <t>Triples</t>
  </si>
  <si>
    <t>Trix</t>
  </si>
  <si>
    <t>Wheat Chex</t>
  </si>
  <si>
    <t>Wheaties</t>
  </si>
  <si>
    <t>Wheaties Honey Gold</t>
  </si>
  <si>
    <t>Nabisco</t>
  </si>
  <si>
    <t>Quaker Oats</t>
  </si>
  <si>
    <t>Kelloggs</t>
  </si>
  <si>
    <t>Ralston Purina</t>
  </si>
  <si>
    <t>General Mills</t>
  </si>
  <si>
    <t>Post</t>
  </si>
  <si>
    <t>American Home Food Products</t>
  </si>
  <si>
    <t>Potassium</t>
  </si>
  <si>
    <t>Weight Of One Serving</t>
  </si>
  <si>
    <t>Cold</t>
  </si>
  <si>
    <t>Hot</t>
  </si>
  <si>
    <t>Sodium</t>
  </si>
  <si>
    <t>Protein Density</t>
  </si>
  <si>
    <t>Fiber Density</t>
  </si>
  <si>
    <t>Sugar Density</t>
  </si>
  <si>
    <t>Potassium Density</t>
  </si>
  <si>
    <t>Complex Carbohydrate Density</t>
  </si>
  <si>
    <t>Fat Density</t>
  </si>
  <si>
    <t>Sodium Density</t>
  </si>
  <si>
    <t>Nutrient Density Score</t>
  </si>
  <si>
    <t>Nutrient Density Category</t>
  </si>
  <si>
    <t>Moderate Nutrient Density</t>
  </si>
  <si>
    <t>Low Nutrient Density</t>
  </si>
  <si>
    <t>High Nutrient Density</t>
  </si>
  <si>
    <t>score</t>
  </si>
  <si>
    <t>Row Labels</t>
  </si>
  <si>
    <t>Rating By Customers</t>
  </si>
  <si>
    <t>measures</t>
  </si>
  <si>
    <t>Distinct Count of Manufacturer Of Cereal</t>
  </si>
  <si>
    <t>Distinct Count of Cereal Name</t>
  </si>
  <si>
    <t>Fibers</t>
  </si>
  <si>
    <t>Complex Carbohydrate</t>
  </si>
  <si>
    <t>Fats</t>
  </si>
  <si>
    <t>Portion Weight</t>
  </si>
  <si>
    <t>What are the top 5 products in each nutrient category, with a detailed view of their characteristics?</t>
  </si>
  <si>
    <t>How many products fall under each nutrient density category (High, Moderate, Low)?</t>
  </si>
  <si>
    <t>How many products belong to each product type?</t>
  </si>
  <si>
    <t>How many products are offered by each manufacturer?</t>
  </si>
  <si>
    <t>What is the distribution of products based on customer ratings?</t>
  </si>
  <si>
    <t>Full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</si>
</sst>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_(* #,##0.0000_);_(* \(#,##0.0000\);_(* &quot;-&quot;??_);_(@_)"/>
  </numFmts>
  <fonts count="8" x14ac:knownFonts="1">
    <font>
      <sz val="11"/>
      <color theme="1"/>
      <name val="Aptos Narrow"/>
      <family val="2"/>
      <scheme val="minor"/>
    </font>
    <font>
      <sz val="11"/>
      <color theme="1"/>
      <name val="Aptos Narrow"/>
      <family val="2"/>
      <scheme val="minor"/>
    </font>
    <font>
      <b/>
      <sz val="11"/>
      <color theme="0"/>
      <name val="Aptos Narrow"/>
      <family val="2"/>
      <scheme val="minor"/>
    </font>
    <font>
      <sz val="18"/>
      <color theme="1"/>
      <name val="Aptos Narrow"/>
      <family val="2"/>
      <scheme val="minor"/>
    </font>
    <font>
      <sz val="8"/>
      <name val="Aptos Narrow"/>
      <family val="2"/>
      <scheme val="minor"/>
    </font>
    <font>
      <sz val="11"/>
      <color rgb="FF03045E"/>
      <name val="Aptos Narrow"/>
      <family val="2"/>
      <scheme val="minor"/>
    </font>
    <font>
      <sz val="11"/>
      <color theme="1"/>
      <name val="Arial Rounded MT Bold"/>
      <family val="2"/>
    </font>
    <font>
      <b/>
      <sz val="11"/>
      <color theme="1"/>
      <name val="Aptos Narrow"/>
      <family val="2"/>
      <scheme val="minor"/>
    </font>
  </fonts>
  <fills count="6">
    <fill>
      <patternFill patternType="none"/>
    </fill>
    <fill>
      <patternFill patternType="gray125"/>
    </fill>
    <fill>
      <patternFill patternType="solid">
        <fgColor rgb="FFFFFF00"/>
        <bgColor indexed="64"/>
      </patternFill>
    </fill>
    <fill>
      <patternFill patternType="solid">
        <fgColor theme="1" tint="0.249977111117893"/>
        <bgColor indexed="64"/>
      </patternFill>
    </fill>
    <fill>
      <patternFill patternType="solid">
        <fgColor rgb="FF03045E"/>
        <bgColor indexed="64"/>
      </patternFill>
    </fill>
    <fill>
      <patternFill patternType="solid">
        <fgColor rgb="FFCAF0F8"/>
        <bgColor indexed="64"/>
      </patternFill>
    </fill>
  </fills>
  <borders count="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rgb="FF473198"/>
      </left>
      <right style="thin">
        <color rgb="FF473198"/>
      </right>
      <top/>
      <bottom/>
      <diagonal/>
    </border>
    <border>
      <left style="thin">
        <color rgb="FF473198"/>
      </left>
      <right style="thin">
        <color rgb="FF473198"/>
      </right>
      <top/>
      <bottom style="thin">
        <color rgb="FF473198"/>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29">
    <xf numFmtId="0" fontId="0" fillId="0" borderId="0" xfId="0"/>
    <xf numFmtId="10" fontId="0" fillId="0" borderId="0" xfId="1" applyNumberFormat="1" applyFont="1"/>
    <xf numFmtId="164" fontId="0" fillId="0" borderId="0" xfId="2"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11" xfId="0" applyBorder="1" applyAlignment="1">
      <alignment horizontal="center" vertical="center"/>
    </xf>
    <xf numFmtId="0" fontId="0" fillId="0" borderId="12" xfId="0" applyBorder="1" applyAlignment="1">
      <alignment horizontal="center" vertical="center"/>
    </xf>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xf numFmtId="0" fontId="5" fillId="0" borderId="0" xfId="0" applyFont="1"/>
    <xf numFmtId="3" fontId="0" fillId="0" borderId="0" xfId="0" applyNumberFormat="1"/>
    <xf numFmtId="0" fontId="6" fillId="0" borderId="0" xfId="0" applyFont="1"/>
    <xf numFmtId="0" fontId="2" fillId="4" borderId="0" xfId="0" applyFont="1" applyFill="1" applyAlignment="1">
      <alignment horizontal="center" vertical="center"/>
    </xf>
    <xf numFmtId="0" fontId="7" fillId="5" borderId="13" xfId="0" applyFont="1" applyFill="1" applyBorder="1"/>
    <xf numFmtId="0" fontId="7" fillId="5" borderId="14" xfId="0" applyFont="1" applyFill="1" applyBorder="1"/>
    <xf numFmtId="0" fontId="0" fillId="5" borderId="13" xfId="0" applyFill="1" applyBorder="1" applyAlignment="1">
      <alignment horizontal="center" vertical="center"/>
    </xf>
    <xf numFmtId="0" fontId="0" fillId="5" borderId="14" xfId="0" applyFill="1" applyBorder="1" applyAlignment="1">
      <alignment horizontal="center"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3" fillId="0" borderId="7" xfId="0" applyFont="1" applyBorder="1" applyAlignment="1">
      <alignment horizontal="center" vertical="center"/>
    </xf>
    <xf numFmtId="0" fontId="3" fillId="0" borderId="8" xfId="0" applyFont="1" applyBorder="1" applyAlignment="1">
      <alignment horizontal="center" vertical="center"/>
    </xf>
    <xf numFmtId="0" fontId="0" fillId="0" borderId="0" xfId="0" applyNumberFormat="1"/>
  </cellXfs>
  <cellStyles count="3">
    <cellStyle name="Comma" xfId="2" builtinId="3"/>
    <cellStyle name="Normal" xfId="0" builtinId="0"/>
    <cellStyle name="Percent" xfId="1" builtinId="5"/>
  </cellStyles>
  <dxfs count="15">
    <dxf>
      <numFmt numFmtId="0" formatCode="General"/>
    </dxf>
    <dxf>
      <numFmt numFmtId="164" formatCode="_(* #,##0.0000_);_(* \(#,##0.0000\);_(* &quot;-&quot;??_);_(@_)"/>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0" formatCode="General"/>
    </dxf>
    <dxf>
      <numFmt numFmtId="0" formatCode="General"/>
    </dxf>
    <dxf>
      <font>
        <b/>
        <i val="0"/>
        <sz val="14"/>
        <color theme="0"/>
      </font>
      <border>
        <bottom style="double">
          <color rgb="FF9BF3F0"/>
        </bottom>
        <vertical/>
        <horizontal/>
      </border>
    </dxf>
    <dxf>
      <font>
        <color theme="0"/>
      </font>
      <fill>
        <patternFill>
          <bgColor rgb="FF03045E"/>
        </patternFill>
      </fill>
      <border diagonalUp="0" diagonalDown="0">
        <left/>
        <right/>
        <top/>
        <bottom/>
        <vertical/>
        <horizontal/>
      </border>
    </dxf>
  </dxfs>
  <tableStyles count="1" defaultTableStyle="TableStyleMedium2" defaultPivotStyle="PivotStyleLight16">
    <tableStyle name="SlicerStyleLight4 2" pivot="0" table="0" count="10" xr9:uid="{5C906C87-68D8-4231-BC06-4D50DBEEC1C8}">
      <tableStyleElement type="wholeTable" dxfId="14"/>
      <tableStyleElement type="headerRow" dxfId="13"/>
    </tableStyle>
  </tableStyles>
  <colors>
    <mruColors>
      <color rgb="FF473198"/>
      <color rgb="FFDAFFED"/>
      <color rgb="FF03045E"/>
      <color rgb="FFF72585"/>
      <color rgb="FF9BF3F0"/>
      <color rgb="FFCAF0F8"/>
      <color rgb="FFC0FD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b/>
            <i val="0"/>
            <sz val="12"/>
            <color rgb="FF03045E"/>
          </font>
          <fill>
            <patternFill patternType="solid">
              <fgColor rgb="FF9BF3F0"/>
              <bgColor rgb="FF9BF3F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sz val="12"/>
            <color rgb="FF473198"/>
          </font>
          <fill>
            <patternFill patternType="solid">
              <fgColor rgb="FFCAF0F8"/>
              <bgColor rgb="FFCAF0F8"/>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microsoft.com/office/2007/relationships/slicerCache" Target="slicerCaches/slicerCache4.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microsoft.com/office/2007/relationships/slicerCache" Target="slicerCaches/slicerCache2.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haredStrings" Target="sharedString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tyles" Target="styles.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5.xml"/><Relationship Id="rId19" Type="http://schemas.microsoft.com/office/2007/relationships/slicerCache" Target="slicerCaches/slicerCache5.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microsoft.com/office/2007/relationships/slicerCache" Target="slicerCaches/slicerCache3.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 Id="rId20" Type="http://schemas.microsoft.com/office/2007/relationships/slicerCache" Target="slicerCaches/slicerCache6.xml"/><Relationship Id="rId41"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2 (80 CEREALS).xlsm]WorkSheet!Top 10 in rating</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47319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dLblPos val="inBase"/>
          <c:showLegendKey val="0"/>
          <c:showVal val="1"/>
          <c:showCatName val="0"/>
          <c:showSerName val="0"/>
          <c:showPercent val="0"/>
          <c:showBubbleSize val="0"/>
          <c:separator> </c:separator>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rgbClr val="DAFFED">
              <a:alpha val="10000"/>
            </a:srgbClr>
          </a:solidFill>
          <a:ln>
            <a:solidFill>
              <a:srgbClr val="473198"/>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9BF3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AFFED">
              <a:alpha val="10000"/>
            </a:srgbClr>
          </a:solidFill>
          <a:ln>
            <a:solidFill>
              <a:srgbClr val="473198"/>
            </a:solidFill>
          </a:ln>
          <a:effectLst/>
        </c:spPr>
      </c:pivotFmt>
      <c:pivotFmt>
        <c:idx val="8"/>
        <c:spPr>
          <a:solidFill>
            <a:srgbClr val="473198"/>
          </a:solidFill>
          <a:ln>
            <a:noFill/>
          </a:ln>
          <a:effectLst/>
        </c:spPr>
      </c:pivotFmt>
      <c:pivotFmt>
        <c:idx val="9"/>
        <c:spPr>
          <a:solidFill>
            <a:srgbClr val="473198"/>
          </a:solidFill>
          <a:ln>
            <a:noFill/>
          </a:ln>
          <a:effectLst/>
        </c:spPr>
      </c:pivotFmt>
      <c:pivotFmt>
        <c:idx val="10"/>
        <c:spPr>
          <a:solidFill>
            <a:srgbClr val="473198"/>
          </a:solidFill>
          <a:ln>
            <a:noFill/>
          </a:ln>
          <a:effectLst/>
        </c:spPr>
      </c:pivotFmt>
      <c:pivotFmt>
        <c:idx val="11"/>
        <c:spPr>
          <a:solidFill>
            <a:srgbClr val="473198"/>
          </a:solidFill>
          <a:ln>
            <a:noFill/>
          </a:ln>
          <a:effectLst/>
        </c:spPr>
      </c:pivotFmt>
      <c:pivotFmt>
        <c:idx val="12"/>
        <c:spPr>
          <a:solidFill>
            <a:srgbClr val="473198"/>
          </a:solidFill>
          <a:ln>
            <a:noFill/>
          </a:ln>
          <a:effectLst/>
        </c:spPr>
      </c:pivotFmt>
      <c:pivotFmt>
        <c:idx val="13"/>
        <c:spPr>
          <a:solidFill>
            <a:srgbClr val="473198"/>
          </a:solidFill>
          <a:ln>
            <a:noFill/>
          </a:ln>
          <a:effectLst/>
        </c:spPr>
      </c:pivotFmt>
      <c:pivotFmt>
        <c:idx val="14"/>
        <c:spPr>
          <a:solidFill>
            <a:srgbClr val="473198"/>
          </a:solidFill>
          <a:ln>
            <a:noFill/>
          </a:ln>
          <a:effectLst/>
        </c:spPr>
      </c:pivotFmt>
      <c:pivotFmt>
        <c:idx val="15"/>
        <c:spPr>
          <a:solidFill>
            <a:srgbClr val="473198"/>
          </a:solidFill>
          <a:ln>
            <a:noFill/>
          </a:ln>
          <a:effectLst/>
        </c:spPr>
      </c:pivotFmt>
      <c:pivotFmt>
        <c:idx val="16"/>
        <c:spPr>
          <a:solidFill>
            <a:srgbClr val="473198"/>
          </a:solidFill>
          <a:ln>
            <a:noFill/>
          </a:ln>
          <a:effectLst/>
        </c:spPr>
      </c:pivotFmt>
      <c:pivotFmt>
        <c:idx val="17"/>
        <c:spPr>
          <a:solidFill>
            <a:srgbClr val="473198"/>
          </a:solidFill>
          <a:ln>
            <a:noFill/>
          </a:ln>
          <a:effectLst/>
        </c:spPr>
      </c:pivotFmt>
      <c:pivotFmt>
        <c:idx val="18"/>
        <c:spPr>
          <a:solidFill>
            <a:srgbClr val="473198"/>
          </a:solidFill>
          <a:ln>
            <a:noFill/>
          </a:ln>
          <a:effectLst/>
        </c:spPr>
      </c:pivotFmt>
      <c:pivotFmt>
        <c:idx val="19"/>
        <c:spPr>
          <a:solidFill>
            <a:srgbClr val="473198"/>
          </a:solidFill>
          <a:ln>
            <a:noFill/>
          </a:ln>
          <a:effectLst/>
        </c:spPr>
      </c:pivotFmt>
      <c:pivotFmt>
        <c:idx val="20"/>
        <c:spPr>
          <a:solidFill>
            <a:srgbClr val="473198"/>
          </a:solidFill>
          <a:ln>
            <a:noFill/>
          </a:ln>
          <a:effectLst/>
        </c:spPr>
      </c:pivotFmt>
      <c:pivotFmt>
        <c:idx val="21"/>
        <c:spPr>
          <a:solidFill>
            <a:srgbClr val="473198"/>
          </a:solidFill>
          <a:ln>
            <a:noFill/>
          </a:ln>
          <a:effectLst/>
        </c:spPr>
      </c:pivotFmt>
      <c:pivotFmt>
        <c:idx val="22"/>
        <c:spPr>
          <a:solidFill>
            <a:srgbClr val="473198"/>
          </a:solidFill>
          <a:ln>
            <a:noFill/>
          </a:ln>
          <a:effectLst/>
        </c:spPr>
      </c:pivotFmt>
      <c:pivotFmt>
        <c:idx val="23"/>
        <c:spPr>
          <a:solidFill>
            <a:srgbClr val="473198"/>
          </a:solidFill>
          <a:ln>
            <a:noFill/>
          </a:ln>
          <a:effectLst/>
        </c:spPr>
      </c:pivotFmt>
      <c:pivotFmt>
        <c:idx val="24"/>
        <c:spPr>
          <a:solidFill>
            <a:srgbClr val="473198"/>
          </a:solidFill>
          <a:ln>
            <a:noFill/>
          </a:ln>
          <a:effectLst/>
        </c:spPr>
      </c:pivotFmt>
      <c:pivotFmt>
        <c:idx val="25"/>
        <c:spPr>
          <a:solidFill>
            <a:srgbClr val="473198"/>
          </a:solidFill>
          <a:ln>
            <a:noFill/>
          </a:ln>
          <a:effectLst/>
        </c:spPr>
      </c:pivotFmt>
      <c:pivotFmt>
        <c:idx val="26"/>
        <c:spPr>
          <a:solidFill>
            <a:srgbClr val="473198"/>
          </a:solidFill>
          <a:ln>
            <a:noFill/>
          </a:ln>
          <a:effectLst/>
        </c:spPr>
      </c:pivotFmt>
      <c:pivotFmt>
        <c:idx val="27"/>
        <c:spPr>
          <a:solidFill>
            <a:srgbClr val="473198"/>
          </a:solidFill>
          <a:ln>
            <a:noFill/>
          </a:ln>
          <a:effectLst/>
        </c:spPr>
      </c:pivotFmt>
      <c:pivotFmt>
        <c:idx val="28"/>
        <c:spPr>
          <a:solidFill>
            <a:srgbClr val="473198"/>
          </a:solidFill>
          <a:ln>
            <a:noFill/>
          </a:ln>
          <a:effectLst/>
        </c:spPr>
      </c:pivotFmt>
      <c:pivotFmt>
        <c:idx val="29"/>
        <c:spPr>
          <a:solidFill>
            <a:srgbClr val="473198"/>
          </a:solidFill>
          <a:ln>
            <a:noFill/>
          </a:ln>
          <a:effectLst/>
        </c:spPr>
      </c:pivotFmt>
      <c:pivotFmt>
        <c:idx val="30"/>
        <c:spPr>
          <a:solidFill>
            <a:srgbClr val="473198"/>
          </a:solidFill>
          <a:ln>
            <a:noFill/>
          </a:ln>
          <a:effectLst/>
        </c:spPr>
      </c:pivotFmt>
      <c:pivotFmt>
        <c:idx val="31"/>
        <c:spPr>
          <a:solidFill>
            <a:srgbClr val="473198"/>
          </a:solidFill>
          <a:ln>
            <a:noFill/>
          </a:ln>
          <a:effectLst/>
        </c:spPr>
      </c:pivotFmt>
      <c:pivotFmt>
        <c:idx val="32"/>
        <c:spPr>
          <a:solidFill>
            <a:srgbClr val="473198"/>
          </a:solidFill>
          <a:ln>
            <a:noFill/>
          </a:ln>
          <a:effectLst/>
        </c:spPr>
      </c:pivotFmt>
      <c:pivotFmt>
        <c:idx val="33"/>
        <c:spPr>
          <a:solidFill>
            <a:srgbClr val="473198"/>
          </a:solidFill>
          <a:ln>
            <a:noFill/>
          </a:ln>
          <a:effectLst/>
        </c:spPr>
      </c:pivotFmt>
      <c:pivotFmt>
        <c:idx val="34"/>
        <c:spPr>
          <a:solidFill>
            <a:srgbClr val="473198"/>
          </a:solidFill>
          <a:ln>
            <a:noFill/>
          </a:ln>
          <a:effectLst/>
        </c:spPr>
      </c:pivotFmt>
    </c:pivotFmts>
    <c:plotArea>
      <c:layout>
        <c:manualLayout>
          <c:layoutTarget val="inner"/>
          <c:xMode val="edge"/>
          <c:yMode val="edge"/>
          <c:x val="0.53042693915397332"/>
          <c:y val="0.12286324786324786"/>
          <c:w val="0.46957306084602674"/>
          <c:h val="0.84775641025641024"/>
        </c:manualLayout>
      </c:layout>
      <c:barChart>
        <c:barDir val="bar"/>
        <c:grouping val="clustered"/>
        <c:varyColors val="0"/>
        <c:ser>
          <c:idx val="0"/>
          <c:order val="0"/>
          <c:tx>
            <c:strRef>
              <c:f>WorkSheet!$C$25</c:f>
              <c:strCache>
                <c:ptCount val="1"/>
                <c:pt idx="0">
                  <c:v>Rating By Customers</c:v>
                </c:pt>
              </c:strCache>
            </c:strRef>
          </c:tx>
          <c:spPr>
            <a:solidFill>
              <a:srgbClr val="47319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dLblPos val="inBase"/>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WorkSheet!$B$26:$B$55</c:f>
              <c:multiLvlStrCache>
                <c:ptCount val="27"/>
                <c:lvl>
                  <c:pt idx="0">
                    <c:v>Clusters</c:v>
                  </c:pt>
                  <c:pt idx="1">
                    <c:v>Cream of Wheat (Quick)</c:v>
                  </c:pt>
                  <c:pt idx="2">
                    <c:v>Fruit &amp; Fibre Dates; Walnuts; and Oats</c:v>
                  </c:pt>
                  <c:pt idx="3">
                    <c:v>Fruitful Bran</c:v>
                  </c:pt>
                  <c:pt idx="4">
                    <c:v>Puffed Rice</c:v>
                  </c:pt>
                  <c:pt idx="5">
                    <c:v>Puffed Wheat</c:v>
                  </c:pt>
                  <c:pt idx="6">
                    <c:v>Quaker Oatmeal</c:v>
                  </c:pt>
                  <c:pt idx="7">
                    <c:v>Shredded Wheat</c:v>
                  </c:pt>
                  <c:pt idx="8">
                    <c:v>Shredded Wheat 'n'Bran</c:v>
                  </c:pt>
                  <c:pt idx="9">
                    <c:v>Shredded Wheat spoon size</c:v>
                  </c:pt>
                  <c:pt idx="10">
                    <c:v>100% Bran</c:v>
                  </c:pt>
                  <c:pt idx="11">
                    <c:v>All-Bran</c:v>
                  </c:pt>
                  <c:pt idx="12">
                    <c:v>Bran Flakes</c:v>
                  </c:pt>
                  <c:pt idx="13">
                    <c:v>Frosted Mini-Wheats</c:v>
                  </c:pt>
                  <c:pt idx="14">
                    <c:v>Grape-Nuts</c:v>
                  </c:pt>
                  <c:pt idx="15">
                    <c:v>Maypo</c:v>
                  </c:pt>
                  <c:pt idx="16">
                    <c:v>Nutri-grain Wheat</c:v>
                  </c:pt>
                  <c:pt idx="17">
                    <c:v>Raisin Squares</c:v>
                  </c:pt>
                  <c:pt idx="18">
                    <c:v>Special K</c:v>
                  </c:pt>
                  <c:pt idx="19">
                    <c:v>Strawberry Fruit Wheats</c:v>
                  </c:pt>
                  <c:pt idx="20">
                    <c:v>All-Bran with Extra Fiber</c:v>
                  </c:pt>
                  <c:pt idx="21">
                    <c:v>Just Right Crunchy  Nuggets</c:v>
                  </c:pt>
                  <c:pt idx="22">
                    <c:v>Product 19</c:v>
                  </c:pt>
                  <c:pt idx="23">
                    <c:v>Total Raisin Bran</c:v>
                  </c:pt>
                  <c:pt idx="24">
                    <c:v>Total Whole Grain</c:v>
                  </c:pt>
                  <c:pt idx="25">
                    <c:v>Just Right Fruit &amp; Nut</c:v>
                  </c:pt>
                  <c:pt idx="26">
                    <c:v>Total Corn Flakes</c:v>
                  </c:pt>
                </c:lvl>
                <c:lvl>
                  <c:pt idx="0">
                    <c:v>Low Nutrient Density</c:v>
                  </c:pt>
                  <c:pt idx="10">
                    <c:v>Moderate Nutrient Density</c:v>
                  </c:pt>
                  <c:pt idx="20">
                    <c:v>High Nutrient Density</c:v>
                  </c:pt>
                </c:lvl>
              </c:multiLvlStrCache>
            </c:multiLvlStrRef>
          </c:cat>
          <c:val>
            <c:numRef>
              <c:f>WorkSheet!$C$26:$C$55</c:f>
              <c:numCache>
                <c:formatCode>General</c:formatCode>
                <c:ptCount val="27"/>
                <c:pt idx="0">
                  <c:v>40</c:v>
                </c:pt>
                <c:pt idx="1">
                  <c:v>65</c:v>
                </c:pt>
                <c:pt idx="2">
                  <c:v>41</c:v>
                </c:pt>
                <c:pt idx="3">
                  <c:v>41</c:v>
                </c:pt>
                <c:pt idx="4">
                  <c:v>61</c:v>
                </c:pt>
                <c:pt idx="5">
                  <c:v>63</c:v>
                </c:pt>
                <c:pt idx="6">
                  <c:v>51</c:v>
                </c:pt>
                <c:pt idx="7">
                  <c:v>68</c:v>
                </c:pt>
                <c:pt idx="8">
                  <c:v>74</c:v>
                </c:pt>
                <c:pt idx="9">
                  <c:v>73</c:v>
                </c:pt>
                <c:pt idx="10">
                  <c:v>68</c:v>
                </c:pt>
                <c:pt idx="11">
                  <c:v>59</c:v>
                </c:pt>
                <c:pt idx="12">
                  <c:v>53</c:v>
                </c:pt>
                <c:pt idx="13">
                  <c:v>58</c:v>
                </c:pt>
                <c:pt idx="14">
                  <c:v>53</c:v>
                </c:pt>
                <c:pt idx="15">
                  <c:v>55</c:v>
                </c:pt>
                <c:pt idx="16">
                  <c:v>60</c:v>
                </c:pt>
                <c:pt idx="17">
                  <c:v>55</c:v>
                </c:pt>
                <c:pt idx="18">
                  <c:v>53</c:v>
                </c:pt>
                <c:pt idx="19">
                  <c:v>59</c:v>
                </c:pt>
                <c:pt idx="20">
                  <c:v>94</c:v>
                </c:pt>
                <c:pt idx="21">
                  <c:v>37</c:v>
                </c:pt>
                <c:pt idx="22">
                  <c:v>42</c:v>
                </c:pt>
                <c:pt idx="23">
                  <c:v>29</c:v>
                </c:pt>
                <c:pt idx="24">
                  <c:v>47</c:v>
                </c:pt>
                <c:pt idx="25">
                  <c:v>36</c:v>
                </c:pt>
                <c:pt idx="26">
                  <c:v>39</c:v>
                </c:pt>
              </c:numCache>
            </c:numRef>
          </c:val>
          <c:extLst>
            <c:ext xmlns:c16="http://schemas.microsoft.com/office/drawing/2014/chart" uri="{C3380CC4-5D6E-409C-BE32-E72D297353CC}">
              <c16:uniqueId val="{00000023-B207-4421-A961-F2B287E21F2B}"/>
            </c:ext>
          </c:extLst>
        </c:ser>
        <c:ser>
          <c:idx val="1"/>
          <c:order val="1"/>
          <c:tx>
            <c:strRef>
              <c:f>WorkSheet!$D$25</c:f>
              <c:strCache>
                <c:ptCount val="1"/>
                <c:pt idx="0">
                  <c:v>Full Rate</c:v>
                </c:pt>
              </c:strCache>
            </c:strRef>
          </c:tx>
          <c:spPr>
            <a:solidFill>
              <a:srgbClr val="DAFFED">
                <a:alpha val="10000"/>
              </a:srgbClr>
            </a:solidFill>
            <a:ln>
              <a:solidFill>
                <a:srgbClr val="473198"/>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9BF3F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WorkSheet!$B$26:$B$55</c:f>
              <c:multiLvlStrCache>
                <c:ptCount val="27"/>
                <c:lvl>
                  <c:pt idx="0">
                    <c:v>Clusters</c:v>
                  </c:pt>
                  <c:pt idx="1">
                    <c:v>Cream of Wheat (Quick)</c:v>
                  </c:pt>
                  <c:pt idx="2">
                    <c:v>Fruit &amp; Fibre Dates; Walnuts; and Oats</c:v>
                  </c:pt>
                  <c:pt idx="3">
                    <c:v>Fruitful Bran</c:v>
                  </c:pt>
                  <c:pt idx="4">
                    <c:v>Puffed Rice</c:v>
                  </c:pt>
                  <c:pt idx="5">
                    <c:v>Puffed Wheat</c:v>
                  </c:pt>
                  <c:pt idx="6">
                    <c:v>Quaker Oatmeal</c:v>
                  </c:pt>
                  <c:pt idx="7">
                    <c:v>Shredded Wheat</c:v>
                  </c:pt>
                  <c:pt idx="8">
                    <c:v>Shredded Wheat 'n'Bran</c:v>
                  </c:pt>
                  <c:pt idx="9">
                    <c:v>Shredded Wheat spoon size</c:v>
                  </c:pt>
                  <c:pt idx="10">
                    <c:v>100% Bran</c:v>
                  </c:pt>
                  <c:pt idx="11">
                    <c:v>All-Bran</c:v>
                  </c:pt>
                  <c:pt idx="12">
                    <c:v>Bran Flakes</c:v>
                  </c:pt>
                  <c:pt idx="13">
                    <c:v>Frosted Mini-Wheats</c:v>
                  </c:pt>
                  <c:pt idx="14">
                    <c:v>Grape-Nuts</c:v>
                  </c:pt>
                  <c:pt idx="15">
                    <c:v>Maypo</c:v>
                  </c:pt>
                  <c:pt idx="16">
                    <c:v>Nutri-grain Wheat</c:v>
                  </c:pt>
                  <c:pt idx="17">
                    <c:v>Raisin Squares</c:v>
                  </c:pt>
                  <c:pt idx="18">
                    <c:v>Special K</c:v>
                  </c:pt>
                  <c:pt idx="19">
                    <c:v>Strawberry Fruit Wheats</c:v>
                  </c:pt>
                  <c:pt idx="20">
                    <c:v>All-Bran with Extra Fiber</c:v>
                  </c:pt>
                  <c:pt idx="21">
                    <c:v>Just Right Crunchy  Nuggets</c:v>
                  </c:pt>
                  <c:pt idx="22">
                    <c:v>Product 19</c:v>
                  </c:pt>
                  <c:pt idx="23">
                    <c:v>Total Raisin Bran</c:v>
                  </c:pt>
                  <c:pt idx="24">
                    <c:v>Total Whole Grain</c:v>
                  </c:pt>
                  <c:pt idx="25">
                    <c:v>Just Right Fruit &amp; Nut</c:v>
                  </c:pt>
                  <c:pt idx="26">
                    <c:v>Total Corn Flakes</c:v>
                  </c:pt>
                </c:lvl>
                <c:lvl>
                  <c:pt idx="0">
                    <c:v>Low Nutrient Density</c:v>
                  </c:pt>
                  <c:pt idx="10">
                    <c:v>Moderate Nutrient Density</c:v>
                  </c:pt>
                  <c:pt idx="20">
                    <c:v>High Nutrient Density</c:v>
                  </c:pt>
                </c:lvl>
              </c:multiLvlStrCache>
            </c:multiLvlStrRef>
          </c:cat>
          <c:val>
            <c:numRef>
              <c:f>WorkSheet!$D$26:$D$55</c:f>
              <c:numCache>
                <c:formatCode>#,##0</c:formatCode>
                <c:ptCount val="27"/>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numCache>
            </c:numRef>
          </c:val>
          <c:extLst>
            <c:ext xmlns:c16="http://schemas.microsoft.com/office/drawing/2014/chart" uri="{C3380CC4-5D6E-409C-BE32-E72D297353CC}">
              <c16:uniqueId val="{00000024-B207-4421-A961-F2B287E21F2B}"/>
            </c:ext>
          </c:extLst>
        </c:ser>
        <c:dLbls>
          <c:dLblPos val="outEnd"/>
          <c:showLegendKey val="0"/>
          <c:showVal val="1"/>
          <c:showCatName val="0"/>
          <c:showSerName val="0"/>
          <c:showPercent val="0"/>
          <c:showBubbleSize val="0"/>
        </c:dLbls>
        <c:gapWidth val="20"/>
        <c:overlap val="100"/>
        <c:axId val="735428688"/>
        <c:axId val="735436848"/>
      </c:barChart>
      <c:catAx>
        <c:axId val="735428688"/>
        <c:scaling>
          <c:orientation val="minMax"/>
        </c:scaling>
        <c:delete val="0"/>
        <c:axPos val="l"/>
        <c:numFmt formatCode="General" sourceLinked="1"/>
        <c:majorTickMark val="none"/>
        <c:minorTickMark val="none"/>
        <c:tickLblPos val="nextTo"/>
        <c:spPr>
          <a:noFill/>
          <a:ln w="9525" cap="flat" cmpd="sng" algn="ctr">
            <a:solidFill>
              <a:srgbClr val="03045E">
                <a:alpha val="35000"/>
              </a:srgbClr>
            </a:solidFill>
            <a:round/>
          </a:ln>
          <a:effectLst/>
        </c:spPr>
        <c:txPr>
          <a:bodyPr rot="-60000000" spcFirstLastPara="1" vertOverflow="ellipsis" vert="horz" wrap="square" anchor="ctr" anchorCtr="1"/>
          <a:lstStyle/>
          <a:p>
            <a:pPr>
              <a:defRPr sz="1000" b="1" i="0" u="none" strike="noStrike" kern="1200" baseline="0">
                <a:solidFill>
                  <a:srgbClr val="473198"/>
                </a:solidFill>
                <a:latin typeface="+mn-lt"/>
                <a:ea typeface="+mn-ea"/>
                <a:cs typeface="+mn-cs"/>
              </a:defRPr>
            </a:pPr>
            <a:endParaRPr lang="en-US"/>
          </a:p>
        </c:txPr>
        <c:crossAx val="735436848"/>
        <c:crosses val="autoZero"/>
        <c:auto val="1"/>
        <c:lblAlgn val="ctr"/>
        <c:lblOffset val="100"/>
        <c:noMultiLvlLbl val="0"/>
      </c:catAx>
      <c:valAx>
        <c:axId val="735436848"/>
        <c:scaling>
          <c:orientation val="minMax"/>
        </c:scaling>
        <c:delete val="1"/>
        <c:axPos val="b"/>
        <c:numFmt formatCode="General" sourceLinked="1"/>
        <c:majorTickMark val="none"/>
        <c:minorTickMark val="none"/>
        <c:tickLblPos val="nextTo"/>
        <c:crossAx val="735428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2 (80 CEREALS).xlsm]WorkSheet!Manufacturer</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47319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473198"/>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568922305764409E-2"/>
          <c:y val="0.22970085470085469"/>
          <c:w val="0.94486215538847118"/>
          <c:h val="0.52944259371424729"/>
        </c:manualLayout>
      </c:layout>
      <c:barChart>
        <c:barDir val="col"/>
        <c:grouping val="clustered"/>
        <c:varyColors val="0"/>
        <c:ser>
          <c:idx val="0"/>
          <c:order val="0"/>
          <c:tx>
            <c:strRef>
              <c:f>WorkSheet!$C$7</c:f>
              <c:strCache>
                <c:ptCount val="1"/>
                <c:pt idx="0">
                  <c:v>Total</c:v>
                </c:pt>
              </c:strCache>
            </c:strRef>
          </c:tx>
          <c:spPr>
            <a:solidFill>
              <a:srgbClr val="47319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473198"/>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WorkSheet!$B$8:$B$14</c:f>
              <c:strCache>
                <c:ptCount val="7"/>
                <c:pt idx="0">
                  <c:v>Kelloggs</c:v>
                </c:pt>
                <c:pt idx="1">
                  <c:v>General Mills</c:v>
                </c:pt>
                <c:pt idx="2">
                  <c:v>Post</c:v>
                </c:pt>
                <c:pt idx="3">
                  <c:v>Quaker Oats</c:v>
                </c:pt>
                <c:pt idx="4">
                  <c:v>Ralston Purina</c:v>
                </c:pt>
                <c:pt idx="5">
                  <c:v>Nabisco</c:v>
                </c:pt>
                <c:pt idx="6">
                  <c:v>American Home Food Products</c:v>
                </c:pt>
              </c:strCache>
            </c:strRef>
          </c:cat>
          <c:val>
            <c:numRef>
              <c:f>WorkSheet!$C$8:$C$14</c:f>
              <c:numCache>
                <c:formatCode>General</c:formatCode>
                <c:ptCount val="7"/>
                <c:pt idx="0">
                  <c:v>23</c:v>
                </c:pt>
                <c:pt idx="1">
                  <c:v>22</c:v>
                </c:pt>
                <c:pt idx="2">
                  <c:v>9</c:v>
                </c:pt>
                <c:pt idx="3">
                  <c:v>8</c:v>
                </c:pt>
                <c:pt idx="4">
                  <c:v>8</c:v>
                </c:pt>
                <c:pt idx="5">
                  <c:v>6</c:v>
                </c:pt>
                <c:pt idx="6">
                  <c:v>1</c:v>
                </c:pt>
              </c:numCache>
            </c:numRef>
          </c:val>
          <c:extLst>
            <c:ext xmlns:c16="http://schemas.microsoft.com/office/drawing/2014/chart" uri="{C3380CC4-5D6E-409C-BE32-E72D297353CC}">
              <c16:uniqueId val="{00000000-0481-46EA-B84C-54063EB31FE8}"/>
            </c:ext>
          </c:extLst>
        </c:ser>
        <c:dLbls>
          <c:dLblPos val="outEnd"/>
          <c:showLegendKey val="0"/>
          <c:showVal val="1"/>
          <c:showCatName val="0"/>
          <c:showSerName val="0"/>
          <c:showPercent val="0"/>
          <c:showBubbleSize val="0"/>
        </c:dLbls>
        <c:gapWidth val="30"/>
        <c:overlap val="-27"/>
        <c:axId val="1553551056"/>
        <c:axId val="1553546256"/>
      </c:barChart>
      <c:catAx>
        <c:axId val="1553551056"/>
        <c:scaling>
          <c:orientation val="minMax"/>
        </c:scaling>
        <c:delete val="0"/>
        <c:axPos val="b"/>
        <c:numFmt formatCode="General" sourceLinked="1"/>
        <c:majorTickMark val="none"/>
        <c:minorTickMark val="none"/>
        <c:tickLblPos val="nextTo"/>
        <c:spPr>
          <a:noFill/>
          <a:ln w="9525" cap="flat" cmpd="sng" algn="ctr">
            <a:solidFill>
              <a:srgbClr val="03045E">
                <a:alpha val="50000"/>
              </a:srgbClr>
            </a:solidFill>
            <a:round/>
          </a:ln>
          <a:effectLst/>
        </c:spPr>
        <c:txPr>
          <a:bodyPr rot="-60000000" spcFirstLastPara="1" vertOverflow="ellipsis" vert="horz" wrap="square" anchor="ctr" anchorCtr="1"/>
          <a:lstStyle/>
          <a:p>
            <a:pPr>
              <a:defRPr sz="1000" b="1" i="0" u="none" strike="noStrike" kern="1200" baseline="0">
                <a:solidFill>
                  <a:srgbClr val="473198"/>
                </a:solidFill>
                <a:latin typeface="+mn-lt"/>
                <a:ea typeface="+mn-ea"/>
                <a:cs typeface="+mn-cs"/>
              </a:defRPr>
            </a:pPr>
            <a:endParaRPr lang="en-US"/>
          </a:p>
        </c:txPr>
        <c:crossAx val="1553546256"/>
        <c:crosses val="autoZero"/>
        <c:auto val="1"/>
        <c:lblAlgn val="ctr"/>
        <c:lblOffset val="100"/>
        <c:noMultiLvlLbl val="0"/>
      </c:catAx>
      <c:valAx>
        <c:axId val="1553546256"/>
        <c:scaling>
          <c:orientation val="minMax"/>
        </c:scaling>
        <c:delete val="1"/>
        <c:axPos val="l"/>
        <c:numFmt formatCode="General" sourceLinked="1"/>
        <c:majorTickMark val="none"/>
        <c:minorTickMark val="none"/>
        <c:tickLblPos val="nextTo"/>
        <c:crossAx val="1553551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2 (80 CEREALS).xlsm]WorkSheet!Nutrition category</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47319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473198"/>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7319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473198"/>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568922305764409E-2"/>
          <c:y val="0.24884259259259259"/>
          <c:w val="0.94486215538847118"/>
          <c:h val="0.61737113589967918"/>
        </c:manualLayout>
      </c:layout>
      <c:barChart>
        <c:barDir val="col"/>
        <c:grouping val="clustered"/>
        <c:varyColors val="0"/>
        <c:ser>
          <c:idx val="0"/>
          <c:order val="0"/>
          <c:tx>
            <c:strRef>
              <c:f>WorkSheet!$M$7</c:f>
              <c:strCache>
                <c:ptCount val="1"/>
                <c:pt idx="0">
                  <c:v>Total</c:v>
                </c:pt>
              </c:strCache>
            </c:strRef>
          </c:tx>
          <c:spPr>
            <a:solidFill>
              <a:srgbClr val="47319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473198"/>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WorkSheet!$L$8:$L$10</c:f>
              <c:strCache>
                <c:ptCount val="3"/>
                <c:pt idx="0">
                  <c:v>Low Nutrient Density</c:v>
                </c:pt>
                <c:pt idx="1">
                  <c:v>Moderate Nutrient Density</c:v>
                </c:pt>
                <c:pt idx="2">
                  <c:v>High Nutrient Density</c:v>
                </c:pt>
              </c:strCache>
            </c:strRef>
          </c:cat>
          <c:val>
            <c:numRef>
              <c:f>WorkSheet!$M$8:$M$10</c:f>
              <c:numCache>
                <c:formatCode>General</c:formatCode>
                <c:ptCount val="3"/>
                <c:pt idx="0">
                  <c:v>43</c:v>
                </c:pt>
                <c:pt idx="1">
                  <c:v>27</c:v>
                </c:pt>
                <c:pt idx="2">
                  <c:v>7</c:v>
                </c:pt>
              </c:numCache>
            </c:numRef>
          </c:val>
          <c:extLst>
            <c:ext xmlns:c16="http://schemas.microsoft.com/office/drawing/2014/chart" uri="{C3380CC4-5D6E-409C-BE32-E72D297353CC}">
              <c16:uniqueId val="{00000000-5EB4-4CF1-AFB6-CA195752DED1}"/>
            </c:ext>
          </c:extLst>
        </c:ser>
        <c:dLbls>
          <c:dLblPos val="outEnd"/>
          <c:showLegendKey val="0"/>
          <c:showVal val="1"/>
          <c:showCatName val="0"/>
          <c:showSerName val="0"/>
          <c:showPercent val="0"/>
          <c:showBubbleSize val="0"/>
        </c:dLbls>
        <c:gapWidth val="30"/>
        <c:overlap val="-27"/>
        <c:axId val="735595600"/>
        <c:axId val="735616720"/>
      </c:barChart>
      <c:catAx>
        <c:axId val="735595600"/>
        <c:scaling>
          <c:orientation val="minMax"/>
        </c:scaling>
        <c:delete val="0"/>
        <c:axPos val="b"/>
        <c:numFmt formatCode="General" sourceLinked="1"/>
        <c:majorTickMark val="none"/>
        <c:minorTickMark val="none"/>
        <c:tickLblPos val="nextTo"/>
        <c:spPr>
          <a:noFill/>
          <a:ln w="9525" cap="flat" cmpd="sng" algn="ctr">
            <a:solidFill>
              <a:srgbClr val="03045E">
                <a:alpha val="50000"/>
              </a:srgbClr>
            </a:solidFill>
            <a:round/>
          </a:ln>
          <a:effectLst/>
        </c:spPr>
        <c:txPr>
          <a:bodyPr rot="-60000000" spcFirstLastPara="1" vertOverflow="ellipsis" vert="horz" wrap="square" anchor="ctr" anchorCtr="1"/>
          <a:lstStyle/>
          <a:p>
            <a:pPr>
              <a:defRPr sz="1100" b="1" i="0" u="none" strike="noStrike" kern="1200" baseline="0">
                <a:solidFill>
                  <a:srgbClr val="473198"/>
                </a:solidFill>
                <a:latin typeface="+mn-lt"/>
                <a:ea typeface="+mn-ea"/>
                <a:cs typeface="+mn-cs"/>
              </a:defRPr>
            </a:pPr>
            <a:endParaRPr lang="en-US"/>
          </a:p>
        </c:txPr>
        <c:crossAx val="735616720"/>
        <c:crosses val="autoZero"/>
        <c:auto val="1"/>
        <c:lblAlgn val="ctr"/>
        <c:lblOffset val="100"/>
        <c:noMultiLvlLbl val="0"/>
      </c:catAx>
      <c:valAx>
        <c:axId val="735616720"/>
        <c:scaling>
          <c:orientation val="minMax"/>
        </c:scaling>
        <c:delete val="1"/>
        <c:axPos val="l"/>
        <c:numFmt formatCode="General" sourceLinked="1"/>
        <c:majorTickMark val="none"/>
        <c:minorTickMark val="none"/>
        <c:tickLblPos val="nextTo"/>
        <c:crossAx val="735595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6" fmlaLink="$W$2" max="53" page="10" val="0"/>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microsoft.com/office/2007/relationships/hdphoto" Target="../media/hdphoto1.wdp"/><Relationship Id="rId3" Type="http://schemas.openxmlformats.org/officeDocument/2006/relationships/chart" Target="../charts/chart3.xml"/><Relationship Id="rId7" Type="http://schemas.openxmlformats.org/officeDocument/2006/relationships/hyperlink" Target="#'Detailed view'!A1"/><Relationship Id="rId12" Type="http://schemas.openxmlformats.org/officeDocument/2006/relationships/image" Target="../media/image7.png"/><Relationship Id="rId17" Type="http://schemas.openxmlformats.org/officeDocument/2006/relationships/image" Target="../media/image11.svg"/><Relationship Id="rId2" Type="http://schemas.openxmlformats.org/officeDocument/2006/relationships/chart" Target="../charts/chart2.xml"/><Relationship Id="rId16" Type="http://schemas.openxmlformats.org/officeDocument/2006/relationships/image" Target="../media/image10.png"/><Relationship Id="rId1" Type="http://schemas.openxmlformats.org/officeDocument/2006/relationships/chart" Target="../charts/chart1.xml"/><Relationship Id="rId6" Type="http://schemas.openxmlformats.org/officeDocument/2006/relationships/image" Target="../media/image2.svg"/><Relationship Id="rId11" Type="http://schemas.openxmlformats.org/officeDocument/2006/relationships/image" Target="../media/image6.svg"/><Relationship Id="rId5" Type="http://schemas.openxmlformats.org/officeDocument/2006/relationships/image" Target="../media/image1.png"/><Relationship Id="rId15" Type="http://schemas.openxmlformats.org/officeDocument/2006/relationships/image" Target="../media/image9.svg"/><Relationship Id="rId10" Type="http://schemas.openxmlformats.org/officeDocument/2006/relationships/image" Target="../media/image5.png"/><Relationship Id="rId4" Type="http://schemas.openxmlformats.org/officeDocument/2006/relationships/hyperlink" Target="#Dashboard!A1"/><Relationship Id="rId9" Type="http://schemas.openxmlformats.org/officeDocument/2006/relationships/image" Target="../media/image4.svg"/><Relationship Id="rId14"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6.svg"/><Relationship Id="rId3" Type="http://schemas.openxmlformats.org/officeDocument/2006/relationships/image" Target="../media/image11.svg"/><Relationship Id="rId7" Type="http://schemas.openxmlformats.org/officeDocument/2006/relationships/image" Target="../media/image5.png"/><Relationship Id="rId12" Type="http://schemas.openxmlformats.org/officeDocument/2006/relationships/image" Target="../media/image9.svg"/><Relationship Id="rId2" Type="http://schemas.openxmlformats.org/officeDocument/2006/relationships/image" Target="../media/image10.png"/><Relationship Id="rId1" Type="http://schemas.openxmlformats.org/officeDocument/2006/relationships/hyperlink" Target="#Dashboard!A1"/><Relationship Id="rId6" Type="http://schemas.openxmlformats.org/officeDocument/2006/relationships/image" Target="../media/image13.svg"/><Relationship Id="rId11" Type="http://schemas.openxmlformats.org/officeDocument/2006/relationships/image" Target="../media/image8.png"/><Relationship Id="rId5" Type="http://schemas.openxmlformats.org/officeDocument/2006/relationships/image" Target="../media/image12.png"/><Relationship Id="rId10" Type="http://schemas.microsoft.com/office/2007/relationships/hdphoto" Target="../media/hdphoto1.wdp"/><Relationship Id="rId4" Type="http://schemas.openxmlformats.org/officeDocument/2006/relationships/hyperlink" Target="#'Detailed view'!A1"/><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5</xdr:col>
      <xdr:colOff>563880</xdr:colOff>
      <xdr:row>22</xdr:row>
      <xdr:rowOff>152401</xdr:rowOff>
    </xdr:from>
    <xdr:to>
      <xdr:col>10</xdr:col>
      <xdr:colOff>22860</xdr:colOff>
      <xdr:row>30</xdr:row>
      <xdr:rowOff>0</xdr:rowOff>
    </xdr:to>
    <mc:AlternateContent xmlns:mc="http://schemas.openxmlformats.org/markup-compatibility/2006" xmlns:a14="http://schemas.microsoft.com/office/drawing/2010/main">
      <mc:Choice Requires="a14">
        <xdr:graphicFrame macro="">
          <xdr:nvGraphicFramePr>
            <xdr:cNvPr id="2" name="Nutrient Density Category">
              <a:extLst>
                <a:ext uri="{FF2B5EF4-FFF2-40B4-BE49-F238E27FC236}">
                  <a16:creationId xmlns:a16="http://schemas.microsoft.com/office/drawing/2014/main" id="{A5065EB4-1F2C-E3A0-9FD0-814930A4AAAA}"/>
                </a:ext>
              </a:extLst>
            </xdr:cNvPr>
            <xdr:cNvGraphicFramePr/>
          </xdr:nvGraphicFramePr>
          <xdr:xfrm>
            <a:off x="0" y="0"/>
            <a:ext cx="0" cy="0"/>
          </xdr:xfrm>
          <a:graphic>
            <a:graphicData uri="http://schemas.microsoft.com/office/drawing/2010/slicer">
              <sle:slicer xmlns:sle="http://schemas.microsoft.com/office/drawing/2010/slicer" name="Nutrient Density Category"/>
            </a:graphicData>
          </a:graphic>
        </xdr:graphicFrame>
      </mc:Choice>
      <mc:Fallback xmlns="">
        <xdr:sp macro="" textlink="">
          <xdr:nvSpPr>
            <xdr:cNvPr id="0" name=""/>
            <xdr:cNvSpPr>
              <a:spLocks noTextEdit="1"/>
            </xdr:cNvSpPr>
          </xdr:nvSpPr>
          <xdr:spPr>
            <a:xfrm>
              <a:off x="6156960" y="4198621"/>
              <a:ext cx="2506980" cy="13106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5</xdr:col>
      <xdr:colOff>0</xdr:colOff>
      <xdr:row>35</xdr:row>
      <xdr:rowOff>0</xdr:rowOff>
    </xdr:to>
    <xdr:sp macro="" textlink="">
      <xdr:nvSpPr>
        <xdr:cNvPr id="6" name="Rectangle: Rounded Corners 5">
          <a:extLst>
            <a:ext uri="{FF2B5EF4-FFF2-40B4-BE49-F238E27FC236}">
              <a16:creationId xmlns:a16="http://schemas.microsoft.com/office/drawing/2014/main" id="{9A4FDEA5-0F1B-073A-7F3A-831DABFDBCF7}"/>
            </a:ext>
          </a:extLst>
        </xdr:cNvPr>
        <xdr:cNvSpPr/>
      </xdr:nvSpPr>
      <xdr:spPr>
        <a:xfrm>
          <a:off x="190500" y="182880"/>
          <a:ext cx="2438400" cy="6217920"/>
        </a:xfrm>
        <a:prstGeom prst="roundRect">
          <a:avLst/>
        </a:prstGeom>
        <a:solidFill>
          <a:srgbClr val="9BF3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xdr:row>
      <xdr:rowOff>0</xdr:rowOff>
    </xdr:from>
    <xdr:to>
      <xdr:col>10</xdr:col>
      <xdr:colOff>0</xdr:colOff>
      <xdr:row>8</xdr:row>
      <xdr:rowOff>0</xdr:rowOff>
    </xdr:to>
    <xdr:sp macro="" textlink="">
      <xdr:nvSpPr>
        <xdr:cNvPr id="7" name="Rectangle: Rounded Corners 6">
          <a:extLst>
            <a:ext uri="{FF2B5EF4-FFF2-40B4-BE49-F238E27FC236}">
              <a16:creationId xmlns:a16="http://schemas.microsoft.com/office/drawing/2014/main" id="{36F3456F-69E7-EF81-3271-555E308F25F2}"/>
            </a:ext>
          </a:extLst>
        </xdr:cNvPr>
        <xdr:cNvSpPr/>
      </xdr:nvSpPr>
      <xdr:spPr>
        <a:xfrm>
          <a:off x="3238500" y="182880"/>
          <a:ext cx="2438400" cy="1280160"/>
        </a:xfrm>
        <a:prstGeom prst="roundRect">
          <a:avLst/>
        </a:prstGeom>
        <a:solidFill>
          <a:srgbClr val="9BF3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3200">
              <a:solidFill>
                <a:srgbClr val="03045E"/>
              </a:solidFill>
              <a:latin typeface="Amasis MT Pro Black" panose="02040A04050005020304" pitchFamily="18" charset="0"/>
              <a:ea typeface="+mn-ea"/>
              <a:cs typeface="+mn-cs"/>
            </a:rPr>
            <a:t>Total </a:t>
          </a:r>
          <a:r>
            <a:rPr lang="en-US" sz="2000">
              <a:solidFill>
                <a:srgbClr val="03045E"/>
              </a:solidFill>
              <a:latin typeface="Amasis MT Pro Black" panose="02040A04050005020304" pitchFamily="18" charset="0"/>
              <a:ea typeface="+mn-ea"/>
              <a:cs typeface="+mn-cs"/>
            </a:rPr>
            <a:t>Manufacturer</a:t>
          </a:r>
          <a:endParaRPr lang="en-US" sz="3200">
            <a:solidFill>
              <a:srgbClr val="03045E"/>
            </a:solidFill>
            <a:latin typeface="Amasis MT Pro Black" panose="02040A04050005020304" pitchFamily="18" charset="0"/>
            <a:ea typeface="+mn-ea"/>
            <a:cs typeface="+mn-cs"/>
          </a:endParaRPr>
        </a:p>
      </xdr:txBody>
    </xdr:sp>
    <xdr:clientData/>
  </xdr:twoCellAnchor>
  <xdr:twoCellAnchor>
    <xdr:from>
      <xdr:col>11</xdr:col>
      <xdr:colOff>0</xdr:colOff>
      <xdr:row>1</xdr:row>
      <xdr:rowOff>0</xdr:rowOff>
    </xdr:from>
    <xdr:to>
      <xdr:col>15</xdr:col>
      <xdr:colOff>0</xdr:colOff>
      <xdr:row>8</xdr:row>
      <xdr:rowOff>0</xdr:rowOff>
    </xdr:to>
    <xdr:sp macro="" textlink="WorkSheet!M43">
      <xdr:nvSpPr>
        <xdr:cNvPr id="8" name="Rectangle: Rounded Corners 7">
          <a:extLst>
            <a:ext uri="{FF2B5EF4-FFF2-40B4-BE49-F238E27FC236}">
              <a16:creationId xmlns:a16="http://schemas.microsoft.com/office/drawing/2014/main" id="{C971096B-DF44-F2E9-C4E8-8319492EDF28}"/>
            </a:ext>
          </a:extLst>
        </xdr:cNvPr>
        <xdr:cNvSpPr/>
      </xdr:nvSpPr>
      <xdr:spPr>
        <a:xfrm>
          <a:off x="6286500" y="182880"/>
          <a:ext cx="2438400" cy="1280160"/>
        </a:xfrm>
        <a:prstGeom prst="roundRect">
          <a:avLst/>
        </a:prstGeom>
        <a:solidFill>
          <a:srgbClr val="9BF3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CC8A8F3-866E-497F-B7F5-1B4AF96E3632}" type="TxLink">
            <a:rPr lang="en-US" sz="8000" b="0" i="0" u="none" strike="noStrike">
              <a:solidFill>
                <a:srgbClr val="03045E"/>
              </a:solidFill>
              <a:latin typeface="Amasis MT Pro Black" panose="02040A04050005020304" pitchFamily="18" charset="0"/>
            </a:rPr>
            <a:pPr algn="ctr"/>
            <a:t>7</a:t>
          </a:fld>
          <a:endParaRPr lang="en-US" sz="8000">
            <a:solidFill>
              <a:srgbClr val="03045E"/>
            </a:solidFill>
            <a:latin typeface="Amasis MT Pro Black" panose="02040A04050005020304" pitchFamily="18" charset="0"/>
          </a:endParaRPr>
        </a:p>
      </xdr:txBody>
    </xdr:sp>
    <xdr:clientData/>
  </xdr:twoCellAnchor>
  <xdr:twoCellAnchor>
    <xdr:from>
      <xdr:col>16</xdr:col>
      <xdr:colOff>0</xdr:colOff>
      <xdr:row>1</xdr:row>
      <xdr:rowOff>0</xdr:rowOff>
    </xdr:from>
    <xdr:to>
      <xdr:col>20</xdr:col>
      <xdr:colOff>0</xdr:colOff>
      <xdr:row>8</xdr:row>
      <xdr:rowOff>0</xdr:rowOff>
    </xdr:to>
    <xdr:sp macro="" textlink="">
      <xdr:nvSpPr>
        <xdr:cNvPr id="9" name="Rectangle: Rounded Corners 8">
          <a:extLst>
            <a:ext uri="{FF2B5EF4-FFF2-40B4-BE49-F238E27FC236}">
              <a16:creationId xmlns:a16="http://schemas.microsoft.com/office/drawing/2014/main" id="{16300CEF-3A43-9E01-16AB-2DDCF8AD8109}"/>
            </a:ext>
          </a:extLst>
        </xdr:cNvPr>
        <xdr:cNvSpPr/>
      </xdr:nvSpPr>
      <xdr:spPr>
        <a:xfrm>
          <a:off x="9334500" y="182880"/>
          <a:ext cx="2438400" cy="1280160"/>
        </a:xfrm>
        <a:prstGeom prst="roundRect">
          <a:avLst/>
        </a:prstGeom>
        <a:solidFill>
          <a:srgbClr val="9BF3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3200">
              <a:solidFill>
                <a:srgbClr val="03045E"/>
              </a:solidFill>
              <a:latin typeface="Amasis MT Pro Black" panose="02040A04050005020304" pitchFamily="18" charset="0"/>
              <a:ea typeface="+mn-ea"/>
              <a:cs typeface="+mn-cs"/>
            </a:rPr>
            <a:t>Total Products</a:t>
          </a:r>
        </a:p>
      </xdr:txBody>
    </xdr:sp>
    <xdr:clientData/>
  </xdr:twoCellAnchor>
  <xdr:twoCellAnchor>
    <xdr:from>
      <xdr:col>21</xdr:col>
      <xdr:colOff>0</xdr:colOff>
      <xdr:row>1</xdr:row>
      <xdr:rowOff>0</xdr:rowOff>
    </xdr:from>
    <xdr:to>
      <xdr:col>25</xdr:col>
      <xdr:colOff>0</xdr:colOff>
      <xdr:row>8</xdr:row>
      <xdr:rowOff>0</xdr:rowOff>
    </xdr:to>
    <xdr:sp macro="" textlink="WorkSheet!L43">
      <xdr:nvSpPr>
        <xdr:cNvPr id="10" name="Rectangle: Rounded Corners 9">
          <a:extLst>
            <a:ext uri="{FF2B5EF4-FFF2-40B4-BE49-F238E27FC236}">
              <a16:creationId xmlns:a16="http://schemas.microsoft.com/office/drawing/2014/main" id="{43816B98-9024-73F1-749D-49BE8E484A5A}"/>
            </a:ext>
          </a:extLst>
        </xdr:cNvPr>
        <xdr:cNvSpPr/>
      </xdr:nvSpPr>
      <xdr:spPr>
        <a:xfrm>
          <a:off x="12382500" y="182880"/>
          <a:ext cx="2438400" cy="1280160"/>
        </a:xfrm>
        <a:prstGeom prst="roundRect">
          <a:avLst/>
        </a:prstGeom>
        <a:solidFill>
          <a:srgbClr val="9BF3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ED83CC9-5ECB-47C8-8484-8F9E2B49116D}" type="TxLink">
            <a:rPr lang="en-US" sz="8000" b="0" i="0" u="none" strike="noStrike">
              <a:solidFill>
                <a:srgbClr val="03045E"/>
              </a:solidFill>
              <a:latin typeface="Amasis MT Pro Black" panose="02040A04050005020304" pitchFamily="18" charset="0"/>
            </a:rPr>
            <a:pPr algn="ctr"/>
            <a:t>77</a:t>
          </a:fld>
          <a:endParaRPr lang="en-US" sz="8000">
            <a:solidFill>
              <a:srgbClr val="03045E"/>
            </a:solidFill>
            <a:latin typeface="Amasis MT Pro Black" panose="02040A04050005020304" pitchFamily="18" charset="0"/>
          </a:endParaRPr>
        </a:p>
      </xdr:txBody>
    </xdr:sp>
    <xdr:clientData/>
  </xdr:twoCellAnchor>
  <xdr:twoCellAnchor>
    <xdr:from>
      <xdr:col>6</xdr:col>
      <xdr:colOff>0</xdr:colOff>
      <xdr:row>9</xdr:row>
      <xdr:rowOff>0</xdr:rowOff>
    </xdr:from>
    <xdr:to>
      <xdr:col>15</xdr:col>
      <xdr:colOff>0</xdr:colOff>
      <xdr:row>22</xdr:row>
      <xdr:rowOff>0</xdr:rowOff>
    </xdr:to>
    <xdr:sp macro="" textlink="">
      <xdr:nvSpPr>
        <xdr:cNvPr id="11" name="Rectangle: Rounded Corners 10">
          <a:extLst>
            <a:ext uri="{FF2B5EF4-FFF2-40B4-BE49-F238E27FC236}">
              <a16:creationId xmlns:a16="http://schemas.microsoft.com/office/drawing/2014/main" id="{6253FBE5-B264-AE85-4624-798E7EBFD06F}"/>
            </a:ext>
          </a:extLst>
        </xdr:cNvPr>
        <xdr:cNvSpPr/>
      </xdr:nvSpPr>
      <xdr:spPr>
        <a:xfrm>
          <a:off x="2819400" y="1645920"/>
          <a:ext cx="5067300" cy="2377440"/>
        </a:xfrm>
        <a:prstGeom prst="roundRect">
          <a:avLst/>
        </a:prstGeom>
        <a:solidFill>
          <a:srgbClr val="9BF3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0">
              <a:solidFill>
                <a:srgbClr val="03045E"/>
              </a:solidFill>
              <a:latin typeface="+mj-lt"/>
            </a:rPr>
            <a:t>Manufacturers and Their Product Offerings</a:t>
          </a:r>
        </a:p>
      </xdr:txBody>
    </xdr:sp>
    <xdr:clientData/>
  </xdr:twoCellAnchor>
  <xdr:twoCellAnchor>
    <xdr:from>
      <xdr:col>6</xdr:col>
      <xdr:colOff>0</xdr:colOff>
      <xdr:row>23</xdr:row>
      <xdr:rowOff>0</xdr:rowOff>
    </xdr:from>
    <xdr:to>
      <xdr:col>15</xdr:col>
      <xdr:colOff>0</xdr:colOff>
      <xdr:row>35</xdr:row>
      <xdr:rowOff>0</xdr:rowOff>
    </xdr:to>
    <xdr:sp macro="" textlink="">
      <xdr:nvSpPr>
        <xdr:cNvPr id="12" name="Rectangle: Rounded Corners 11">
          <a:extLst>
            <a:ext uri="{FF2B5EF4-FFF2-40B4-BE49-F238E27FC236}">
              <a16:creationId xmlns:a16="http://schemas.microsoft.com/office/drawing/2014/main" id="{B9B7E1F7-00AD-60CF-9EC1-390F00C463DA}"/>
            </a:ext>
          </a:extLst>
        </xdr:cNvPr>
        <xdr:cNvSpPr/>
      </xdr:nvSpPr>
      <xdr:spPr>
        <a:xfrm>
          <a:off x="2819400" y="4206240"/>
          <a:ext cx="5067300" cy="2194560"/>
        </a:xfrm>
        <a:prstGeom prst="roundRect">
          <a:avLst/>
        </a:prstGeom>
        <a:solidFill>
          <a:srgbClr val="9BF3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600" b="0">
              <a:solidFill>
                <a:srgbClr val="03045E"/>
              </a:solidFill>
              <a:latin typeface="+mj-lt"/>
              <a:ea typeface="+mn-ea"/>
              <a:cs typeface="+mn-cs"/>
            </a:rPr>
            <a:t>Nutrient Density Classification of Products</a:t>
          </a:r>
        </a:p>
      </xdr:txBody>
    </xdr:sp>
    <xdr:clientData/>
  </xdr:twoCellAnchor>
  <xdr:twoCellAnchor>
    <xdr:from>
      <xdr:col>16</xdr:col>
      <xdr:colOff>0</xdr:colOff>
      <xdr:row>9</xdr:row>
      <xdr:rowOff>0</xdr:rowOff>
    </xdr:from>
    <xdr:to>
      <xdr:col>25</xdr:col>
      <xdr:colOff>0</xdr:colOff>
      <xdr:row>35</xdr:row>
      <xdr:rowOff>0</xdr:rowOff>
    </xdr:to>
    <xdr:sp macro="" textlink="">
      <xdr:nvSpPr>
        <xdr:cNvPr id="13" name="Rectangle: Rounded Corners 12">
          <a:extLst>
            <a:ext uri="{FF2B5EF4-FFF2-40B4-BE49-F238E27FC236}">
              <a16:creationId xmlns:a16="http://schemas.microsoft.com/office/drawing/2014/main" id="{ED0A40CE-4703-BF2B-6FC8-3F60F90A986A}"/>
            </a:ext>
          </a:extLst>
        </xdr:cNvPr>
        <xdr:cNvSpPr/>
      </xdr:nvSpPr>
      <xdr:spPr>
        <a:xfrm>
          <a:off x="8077200" y="1645920"/>
          <a:ext cx="5067300" cy="4754880"/>
        </a:xfrm>
        <a:prstGeom prst="roundRect">
          <a:avLst>
            <a:gd name="adj" fmla="val 9616"/>
          </a:avLst>
        </a:prstGeom>
        <a:solidFill>
          <a:srgbClr val="9BF3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600" b="0">
              <a:solidFill>
                <a:srgbClr val="03045E"/>
              </a:solidFill>
              <a:latin typeface="+mj-lt"/>
              <a:ea typeface="+mn-ea"/>
              <a:cs typeface="+mn-cs"/>
            </a:rPr>
            <a:t>Customer Ratings Distribution of Products</a:t>
          </a:r>
        </a:p>
      </xdr:txBody>
    </xdr:sp>
    <xdr:clientData/>
  </xdr:twoCellAnchor>
  <xdr:twoCellAnchor>
    <xdr:from>
      <xdr:col>16</xdr:col>
      <xdr:colOff>0</xdr:colOff>
      <xdr:row>9</xdr:row>
      <xdr:rowOff>91440</xdr:rowOff>
    </xdr:from>
    <xdr:to>
      <xdr:col>26</xdr:col>
      <xdr:colOff>91440</xdr:colOff>
      <xdr:row>35</xdr:row>
      <xdr:rowOff>91440</xdr:rowOff>
    </xdr:to>
    <xdr:graphicFrame macro="">
      <xdr:nvGraphicFramePr>
        <xdr:cNvPr id="16" name="Chart 15">
          <a:extLst>
            <a:ext uri="{FF2B5EF4-FFF2-40B4-BE49-F238E27FC236}">
              <a16:creationId xmlns:a16="http://schemas.microsoft.com/office/drawing/2014/main" id="{9169191A-C9BF-4DD3-B4F1-8031010505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0</xdr:rowOff>
    </xdr:from>
    <xdr:to>
      <xdr:col>15</xdr:col>
      <xdr:colOff>0</xdr:colOff>
      <xdr:row>22</xdr:row>
      <xdr:rowOff>0</xdr:rowOff>
    </xdr:to>
    <xdr:graphicFrame macro="">
      <xdr:nvGraphicFramePr>
        <xdr:cNvPr id="17" name="Chart 16">
          <a:extLst>
            <a:ext uri="{FF2B5EF4-FFF2-40B4-BE49-F238E27FC236}">
              <a16:creationId xmlns:a16="http://schemas.microsoft.com/office/drawing/2014/main" id="{3BB3DBC9-EAE7-4789-9A1F-548A781E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23</xdr:row>
      <xdr:rowOff>0</xdr:rowOff>
    </xdr:from>
    <xdr:to>
      <xdr:col>15</xdr:col>
      <xdr:colOff>0</xdr:colOff>
      <xdr:row>35</xdr:row>
      <xdr:rowOff>0</xdr:rowOff>
    </xdr:to>
    <xdr:graphicFrame macro="">
      <xdr:nvGraphicFramePr>
        <xdr:cNvPr id="18" name="Chart 17">
          <a:extLst>
            <a:ext uri="{FF2B5EF4-FFF2-40B4-BE49-F238E27FC236}">
              <a16:creationId xmlns:a16="http://schemas.microsoft.com/office/drawing/2014/main" id="{1384664B-F108-462D-8C64-18B0D31FD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186690</xdr:colOff>
      <xdr:row>11</xdr:row>
      <xdr:rowOff>60960</xdr:rowOff>
    </xdr:from>
    <xdr:to>
      <xdr:col>5</xdr:col>
      <xdr:colOff>26670</xdr:colOff>
      <xdr:row>18</xdr:row>
      <xdr:rowOff>60960</xdr:rowOff>
    </xdr:to>
    <xdr:grpSp>
      <xdr:nvGrpSpPr>
        <xdr:cNvPr id="19" name="Group 18">
          <a:hlinkClick xmlns:r="http://schemas.openxmlformats.org/officeDocument/2006/relationships" r:id="rId4"/>
          <a:extLst>
            <a:ext uri="{FF2B5EF4-FFF2-40B4-BE49-F238E27FC236}">
              <a16:creationId xmlns:a16="http://schemas.microsoft.com/office/drawing/2014/main" id="{C7916A0B-D6C9-DE73-ED40-13B99710A2D1}"/>
            </a:ext>
          </a:extLst>
        </xdr:cNvPr>
        <xdr:cNvGrpSpPr/>
      </xdr:nvGrpSpPr>
      <xdr:grpSpPr>
        <a:xfrm>
          <a:off x="186690" y="2072640"/>
          <a:ext cx="2468880" cy="1280160"/>
          <a:chOff x="190500" y="2926080"/>
          <a:chExt cx="2468880" cy="1280160"/>
        </a:xfrm>
      </xdr:grpSpPr>
      <xdr:sp macro="" textlink="">
        <xdr:nvSpPr>
          <xdr:cNvPr id="4" name="Rectangle: Rounded Corners 3">
            <a:extLst>
              <a:ext uri="{FF2B5EF4-FFF2-40B4-BE49-F238E27FC236}">
                <a16:creationId xmlns:a16="http://schemas.microsoft.com/office/drawing/2014/main" id="{B0E3373C-C870-3EA5-8BCD-4DA3FAB48608}"/>
              </a:ext>
            </a:extLst>
          </xdr:cNvPr>
          <xdr:cNvSpPr/>
        </xdr:nvSpPr>
        <xdr:spPr>
          <a:xfrm>
            <a:off x="190500" y="2926080"/>
            <a:ext cx="2438400" cy="1280160"/>
          </a:xfrm>
          <a:prstGeom prst="roundRect">
            <a:avLst>
              <a:gd name="adj" fmla="val 0"/>
            </a:avLst>
          </a:prstGeom>
          <a:solidFill>
            <a:srgbClr val="0304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200">
              <a:solidFill>
                <a:srgbClr val="03045E"/>
              </a:solidFill>
              <a:latin typeface="Amasis MT Pro Black" panose="02040A04050005020304" pitchFamily="18" charset="0"/>
              <a:ea typeface="+mn-ea"/>
              <a:cs typeface="+mn-cs"/>
            </a:endParaRPr>
          </a:p>
        </xdr:txBody>
      </xdr:sp>
      <xdr:pic>
        <xdr:nvPicPr>
          <xdr:cNvPr id="14" name="Graphic 13" descr="Home1 with solid fill">
            <a:extLst>
              <a:ext uri="{FF2B5EF4-FFF2-40B4-BE49-F238E27FC236}">
                <a16:creationId xmlns:a16="http://schemas.microsoft.com/office/drawing/2014/main" id="{62B4E173-AE23-9720-B254-C3886657953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90500" y="3108960"/>
            <a:ext cx="914400" cy="914400"/>
          </a:xfrm>
          <a:prstGeom prst="rect">
            <a:avLst/>
          </a:prstGeom>
        </xdr:spPr>
      </xdr:pic>
      <xdr:sp macro="" textlink="">
        <xdr:nvSpPr>
          <xdr:cNvPr id="15" name="TextBox 14">
            <a:extLst>
              <a:ext uri="{FF2B5EF4-FFF2-40B4-BE49-F238E27FC236}">
                <a16:creationId xmlns:a16="http://schemas.microsoft.com/office/drawing/2014/main" id="{7D90EA0D-CD7F-F144-82ED-B31D12ECB2E4}"/>
              </a:ext>
            </a:extLst>
          </xdr:cNvPr>
          <xdr:cNvSpPr txBox="1"/>
        </xdr:nvSpPr>
        <xdr:spPr>
          <a:xfrm>
            <a:off x="922020" y="3368040"/>
            <a:ext cx="1737360" cy="5410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4000" b="0">
                <a:solidFill>
                  <a:schemeClr val="bg1"/>
                </a:solidFill>
                <a:latin typeface="ADLaM Display" panose="02010000000000000000" pitchFamily="2" charset="0"/>
                <a:ea typeface="ADLaM Display" panose="02010000000000000000" pitchFamily="2" charset="0"/>
                <a:cs typeface="ADLaM Display" panose="02010000000000000000" pitchFamily="2" charset="0"/>
              </a:rPr>
              <a:t>Home</a:t>
            </a:r>
            <a:endParaRPr lang="en-US" sz="3200" b="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grpSp>
    <xdr:clientData/>
  </xdr:twoCellAnchor>
  <xdr:twoCellAnchor>
    <xdr:from>
      <xdr:col>0</xdr:col>
      <xdr:colOff>186690</xdr:colOff>
      <xdr:row>18</xdr:row>
      <xdr:rowOff>171450</xdr:rowOff>
    </xdr:from>
    <xdr:to>
      <xdr:col>5</xdr:col>
      <xdr:colOff>26670</xdr:colOff>
      <xdr:row>25</xdr:row>
      <xdr:rowOff>171450</xdr:rowOff>
    </xdr:to>
    <xdr:grpSp>
      <xdr:nvGrpSpPr>
        <xdr:cNvPr id="20" name="Group 19">
          <a:hlinkClick xmlns:r="http://schemas.openxmlformats.org/officeDocument/2006/relationships" r:id="rId7"/>
          <a:extLst>
            <a:ext uri="{FF2B5EF4-FFF2-40B4-BE49-F238E27FC236}">
              <a16:creationId xmlns:a16="http://schemas.microsoft.com/office/drawing/2014/main" id="{0E9DFF46-AD0F-DED9-FEAB-0B1C4C2C811A}"/>
            </a:ext>
          </a:extLst>
        </xdr:cNvPr>
        <xdr:cNvGrpSpPr/>
      </xdr:nvGrpSpPr>
      <xdr:grpSpPr>
        <a:xfrm>
          <a:off x="186690" y="3463290"/>
          <a:ext cx="2468880" cy="1280160"/>
          <a:chOff x="190500" y="2926080"/>
          <a:chExt cx="2468880" cy="1280160"/>
        </a:xfrm>
      </xdr:grpSpPr>
      <xdr:sp macro="" textlink="">
        <xdr:nvSpPr>
          <xdr:cNvPr id="21" name="Rectangle: Rounded Corners 20">
            <a:extLst>
              <a:ext uri="{FF2B5EF4-FFF2-40B4-BE49-F238E27FC236}">
                <a16:creationId xmlns:a16="http://schemas.microsoft.com/office/drawing/2014/main" id="{1DE92518-412A-2E27-4DF6-A91DC599BEC2}"/>
              </a:ext>
            </a:extLst>
          </xdr:cNvPr>
          <xdr:cNvSpPr/>
        </xdr:nvSpPr>
        <xdr:spPr>
          <a:xfrm>
            <a:off x="190500" y="2926080"/>
            <a:ext cx="2438400" cy="1280160"/>
          </a:xfrm>
          <a:prstGeom prst="roundRect">
            <a:avLst>
              <a:gd name="adj" fmla="val 0"/>
            </a:avLst>
          </a:prstGeom>
          <a:solidFill>
            <a:srgbClr val="DAFFE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200">
              <a:solidFill>
                <a:srgbClr val="03045E"/>
              </a:solidFill>
              <a:latin typeface="Amasis MT Pro Black" panose="02040A04050005020304" pitchFamily="18" charset="0"/>
              <a:ea typeface="+mn-ea"/>
              <a:cs typeface="+mn-cs"/>
            </a:endParaRPr>
          </a:p>
        </xdr:txBody>
      </xdr:sp>
      <xdr:pic>
        <xdr:nvPicPr>
          <xdr:cNvPr id="22" name="Graphic 21" descr="Database outline">
            <a:extLst>
              <a:ext uri="{FF2B5EF4-FFF2-40B4-BE49-F238E27FC236}">
                <a16:creationId xmlns:a16="http://schemas.microsoft.com/office/drawing/2014/main" id="{63D31A24-6C4B-6991-B10E-2A6CD51E4DF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190500" y="3108960"/>
            <a:ext cx="914400" cy="914400"/>
          </a:xfrm>
          <a:prstGeom prst="rect">
            <a:avLst/>
          </a:prstGeom>
        </xdr:spPr>
      </xdr:pic>
      <xdr:sp macro="" textlink="">
        <xdr:nvSpPr>
          <xdr:cNvPr id="23" name="TextBox 22">
            <a:extLst>
              <a:ext uri="{FF2B5EF4-FFF2-40B4-BE49-F238E27FC236}">
                <a16:creationId xmlns:a16="http://schemas.microsoft.com/office/drawing/2014/main" id="{A9A5E0DC-E693-FB3B-A835-2E5D9991EC74}"/>
              </a:ext>
            </a:extLst>
          </xdr:cNvPr>
          <xdr:cNvSpPr txBox="1"/>
        </xdr:nvSpPr>
        <xdr:spPr>
          <a:xfrm>
            <a:off x="922020" y="3368040"/>
            <a:ext cx="1737360" cy="5410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3200" b="0">
                <a:solidFill>
                  <a:srgbClr val="473198"/>
                </a:solidFill>
                <a:latin typeface="ADLaM Display" panose="02010000000000000000" pitchFamily="2" charset="0"/>
                <a:ea typeface="ADLaM Display" panose="02010000000000000000" pitchFamily="2" charset="0"/>
                <a:cs typeface="ADLaM Display" panose="02010000000000000000" pitchFamily="2" charset="0"/>
              </a:rPr>
              <a:t>Details</a:t>
            </a:r>
          </a:p>
        </xdr:txBody>
      </xdr:sp>
    </xdr:grpSp>
    <xdr:clientData/>
  </xdr:twoCellAnchor>
  <xdr:twoCellAnchor>
    <xdr:from>
      <xdr:col>0</xdr:col>
      <xdr:colOff>186690</xdr:colOff>
      <xdr:row>27</xdr:row>
      <xdr:rowOff>106680</xdr:rowOff>
    </xdr:from>
    <xdr:to>
      <xdr:col>4</xdr:col>
      <xdr:colOff>605790</xdr:colOff>
      <xdr:row>34</xdr:row>
      <xdr:rowOff>106680</xdr:rowOff>
    </xdr:to>
    <xdr:grpSp>
      <xdr:nvGrpSpPr>
        <xdr:cNvPr id="24" name="Group 23">
          <a:extLst>
            <a:ext uri="{FF2B5EF4-FFF2-40B4-BE49-F238E27FC236}">
              <a16:creationId xmlns:a16="http://schemas.microsoft.com/office/drawing/2014/main" id="{B0C99AF2-9612-2138-975A-B56F6ED6FA50}"/>
            </a:ext>
          </a:extLst>
        </xdr:cNvPr>
        <xdr:cNvGrpSpPr/>
      </xdr:nvGrpSpPr>
      <xdr:grpSpPr>
        <a:xfrm>
          <a:off x="186690" y="5044440"/>
          <a:ext cx="2438400" cy="1280160"/>
          <a:chOff x="190500" y="2926080"/>
          <a:chExt cx="2438400" cy="1280160"/>
        </a:xfrm>
      </xdr:grpSpPr>
      <xdr:sp macro="[0]!D_Filters" textlink="">
        <xdr:nvSpPr>
          <xdr:cNvPr id="25" name="Rectangle: Rounded Corners 24">
            <a:extLst>
              <a:ext uri="{FF2B5EF4-FFF2-40B4-BE49-F238E27FC236}">
                <a16:creationId xmlns:a16="http://schemas.microsoft.com/office/drawing/2014/main" id="{B8C4C850-C6C0-03D3-F5EE-F6CDC14E9187}"/>
              </a:ext>
            </a:extLst>
          </xdr:cNvPr>
          <xdr:cNvSpPr/>
        </xdr:nvSpPr>
        <xdr:spPr>
          <a:xfrm>
            <a:off x="190500" y="2926080"/>
            <a:ext cx="2438400" cy="1280160"/>
          </a:xfrm>
          <a:prstGeom prst="roundRect">
            <a:avLst>
              <a:gd name="adj" fmla="val 50000"/>
            </a:avLst>
          </a:prstGeom>
          <a:solidFill>
            <a:srgbClr val="C0FD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200">
              <a:solidFill>
                <a:srgbClr val="03045E"/>
              </a:solidFill>
              <a:latin typeface="Amasis MT Pro Black" panose="02040A04050005020304" pitchFamily="18" charset="0"/>
              <a:ea typeface="+mn-ea"/>
              <a:cs typeface="+mn-cs"/>
            </a:endParaRPr>
          </a:p>
        </xdr:txBody>
      </xdr:sp>
      <xdr:pic macro="[0]!D_Filters">
        <xdr:nvPicPr>
          <xdr:cNvPr id="26" name="Graphic 25" descr="Filter outline">
            <a:extLst>
              <a:ext uri="{FF2B5EF4-FFF2-40B4-BE49-F238E27FC236}">
                <a16:creationId xmlns:a16="http://schemas.microsoft.com/office/drawing/2014/main" id="{51E775BE-C24D-1336-7547-69240E5046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rcRect/>
          <a:stretch/>
        </xdr:blipFill>
        <xdr:spPr>
          <a:xfrm>
            <a:off x="320040" y="3108960"/>
            <a:ext cx="914400" cy="914400"/>
          </a:xfrm>
          <a:prstGeom prst="rect">
            <a:avLst/>
          </a:prstGeom>
        </xdr:spPr>
      </xdr:pic>
      <xdr:sp macro="[0]!D_Filters" textlink="">
        <xdr:nvSpPr>
          <xdr:cNvPr id="27" name="TextBox 26">
            <a:extLst>
              <a:ext uri="{FF2B5EF4-FFF2-40B4-BE49-F238E27FC236}">
                <a16:creationId xmlns:a16="http://schemas.microsoft.com/office/drawing/2014/main" id="{DDB4A656-DD8D-37E3-8391-32AEF8A2B107}"/>
              </a:ext>
            </a:extLst>
          </xdr:cNvPr>
          <xdr:cNvSpPr txBox="1"/>
        </xdr:nvSpPr>
        <xdr:spPr>
          <a:xfrm>
            <a:off x="746760" y="3368040"/>
            <a:ext cx="1737360" cy="5410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4000" b="0">
                <a:solidFill>
                  <a:srgbClr val="473198"/>
                </a:solidFill>
                <a:latin typeface="ADLaM Display" panose="02010000000000000000" pitchFamily="2" charset="0"/>
                <a:ea typeface="ADLaM Display" panose="02010000000000000000" pitchFamily="2" charset="0"/>
                <a:cs typeface="ADLaM Display" panose="02010000000000000000" pitchFamily="2" charset="0"/>
              </a:rPr>
              <a:t>Filters</a:t>
            </a:r>
            <a:endParaRPr lang="en-US" sz="3200" b="0">
              <a:solidFill>
                <a:srgbClr val="473198"/>
              </a:solidFill>
              <a:latin typeface="ADLaM Display" panose="02010000000000000000" pitchFamily="2" charset="0"/>
              <a:ea typeface="ADLaM Display" panose="02010000000000000000" pitchFamily="2" charset="0"/>
              <a:cs typeface="ADLaM Display" panose="02010000000000000000" pitchFamily="2" charset="0"/>
            </a:endParaRPr>
          </a:p>
        </xdr:txBody>
      </xdr:sp>
    </xdr:grpSp>
    <xdr:clientData/>
  </xdr:twoCellAnchor>
  <xdr:twoCellAnchor>
    <xdr:from>
      <xdr:col>6</xdr:col>
      <xdr:colOff>144780</xdr:colOff>
      <xdr:row>9</xdr:row>
      <xdr:rowOff>179070</xdr:rowOff>
    </xdr:from>
    <xdr:to>
      <xdr:col>6</xdr:col>
      <xdr:colOff>190500</xdr:colOff>
      <xdr:row>10</xdr:row>
      <xdr:rowOff>179070</xdr:rowOff>
    </xdr:to>
    <xdr:sp macro="" textlink="">
      <xdr:nvSpPr>
        <xdr:cNvPr id="5" name="Rectangle 4">
          <a:extLst>
            <a:ext uri="{FF2B5EF4-FFF2-40B4-BE49-F238E27FC236}">
              <a16:creationId xmlns:a16="http://schemas.microsoft.com/office/drawing/2014/main" id="{C364F1FE-50AB-4D94-D436-D221B432362B}"/>
            </a:ext>
          </a:extLst>
        </xdr:cNvPr>
        <xdr:cNvSpPr/>
      </xdr:nvSpPr>
      <xdr:spPr>
        <a:xfrm>
          <a:off x="2964180" y="1824990"/>
          <a:ext cx="45720" cy="182880"/>
        </a:xfrm>
        <a:prstGeom prst="rect">
          <a:avLst/>
        </a:prstGeom>
        <a:solidFill>
          <a:srgbClr val="F725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160020</xdr:colOff>
      <xdr:row>10</xdr:row>
      <xdr:rowOff>34290</xdr:rowOff>
    </xdr:from>
    <xdr:to>
      <xdr:col>16</xdr:col>
      <xdr:colOff>205740</xdr:colOff>
      <xdr:row>11</xdr:row>
      <xdr:rowOff>34290</xdr:rowOff>
    </xdr:to>
    <xdr:sp macro="" textlink="">
      <xdr:nvSpPr>
        <xdr:cNvPr id="33" name="Rectangle 32">
          <a:extLst>
            <a:ext uri="{FF2B5EF4-FFF2-40B4-BE49-F238E27FC236}">
              <a16:creationId xmlns:a16="http://schemas.microsoft.com/office/drawing/2014/main" id="{CBA5C146-FA89-6825-216B-D269FDB8EB9C}"/>
            </a:ext>
          </a:extLst>
        </xdr:cNvPr>
        <xdr:cNvSpPr/>
      </xdr:nvSpPr>
      <xdr:spPr>
        <a:xfrm>
          <a:off x="8237220" y="1863090"/>
          <a:ext cx="45720" cy="182880"/>
        </a:xfrm>
        <a:prstGeom prst="rect">
          <a:avLst/>
        </a:prstGeom>
        <a:solidFill>
          <a:srgbClr val="F725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144780</xdr:colOff>
      <xdr:row>23</xdr:row>
      <xdr:rowOff>179070</xdr:rowOff>
    </xdr:from>
    <xdr:to>
      <xdr:col>6</xdr:col>
      <xdr:colOff>190500</xdr:colOff>
      <xdr:row>24</xdr:row>
      <xdr:rowOff>179070</xdr:rowOff>
    </xdr:to>
    <xdr:sp macro="" textlink="">
      <xdr:nvSpPr>
        <xdr:cNvPr id="34" name="Rectangle 33">
          <a:extLst>
            <a:ext uri="{FF2B5EF4-FFF2-40B4-BE49-F238E27FC236}">
              <a16:creationId xmlns:a16="http://schemas.microsoft.com/office/drawing/2014/main" id="{84BA3E83-3242-ACA8-4B11-DDE1E70D544D}"/>
            </a:ext>
          </a:extLst>
        </xdr:cNvPr>
        <xdr:cNvSpPr/>
      </xdr:nvSpPr>
      <xdr:spPr>
        <a:xfrm>
          <a:off x="2964180" y="4385310"/>
          <a:ext cx="45720" cy="182880"/>
        </a:xfrm>
        <a:prstGeom prst="rect">
          <a:avLst/>
        </a:prstGeom>
        <a:solidFill>
          <a:srgbClr val="F725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xdr:row>
      <xdr:rowOff>138599</xdr:rowOff>
    </xdr:from>
    <xdr:to>
      <xdr:col>5</xdr:col>
      <xdr:colOff>38100</xdr:colOff>
      <xdr:row>8</xdr:row>
      <xdr:rowOff>129540</xdr:rowOff>
    </xdr:to>
    <xdr:grpSp>
      <xdr:nvGrpSpPr>
        <xdr:cNvPr id="44" name="Group 43">
          <a:extLst>
            <a:ext uri="{FF2B5EF4-FFF2-40B4-BE49-F238E27FC236}">
              <a16:creationId xmlns:a16="http://schemas.microsoft.com/office/drawing/2014/main" id="{45034CD9-27C7-54EB-A3D2-C450C5C164A2}"/>
            </a:ext>
          </a:extLst>
        </xdr:cNvPr>
        <xdr:cNvGrpSpPr/>
      </xdr:nvGrpSpPr>
      <xdr:grpSpPr>
        <a:xfrm>
          <a:off x="220980" y="504359"/>
          <a:ext cx="2446020" cy="1088221"/>
          <a:chOff x="220980" y="504359"/>
          <a:chExt cx="2446020" cy="1088221"/>
        </a:xfrm>
      </xdr:grpSpPr>
      <xdr:pic>
        <xdr:nvPicPr>
          <xdr:cNvPr id="35" name="Picture 34" descr="Overhead view of Muesli with milk">
            <a:extLst>
              <a:ext uri="{FF2B5EF4-FFF2-40B4-BE49-F238E27FC236}">
                <a16:creationId xmlns:a16="http://schemas.microsoft.com/office/drawing/2014/main" id="{1B55A8F4-447E-780A-A778-DF1820F35DED}"/>
              </a:ext>
            </a:extLst>
          </xdr:cNvPr>
          <xdr:cNvPicPr>
            <a:picLocks noChangeAspect="1"/>
          </xdr:cNvPicPr>
        </xdr:nvPicPr>
        <xdr:blipFill>
          <a:blip xmlns:r="http://schemas.openxmlformats.org/officeDocument/2006/relationships" r:embed="rId12" cstate="print">
            <a:extLst>
              <a:ext uri="{BEBA8EAE-BF5A-486C-A8C5-ECC9F3942E4B}">
                <a14:imgProps xmlns:a14="http://schemas.microsoft.com/office/drawing/2010/main">
                  <a14:imgLayer r:embed="rId1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1729741" y="504359"/>
            <a:ext cx="914399" cy="914617"/>
          </a:xfrm>
          <a:prstGeom prst="rect">
            <a:avLst/>
          </a:prstGeom>
          <a:ln>
            <a:noFill/>
          </a:ln>
          <a:effectLst/>
        </xdr:spPr>
      </xdr:pic>
      <xdr:grpSp>
        <xdr:nvGrpSpPr>
          <xdr:cNvPr id="43" name="Group 42">
            <a:extLst>
              <a:ext uri="{FF2B5EF4-FFF2-40B4-BE49-F238E27FC236}">
                <a16:creationId xmlns:a16="http://schemas.microsoft.com/office/drawing/2014/main" id="{95CAABE7-C27C-A45B-189E-747DA73BCE6E}"/>
              </a:ext>
            </a:extLst>
          </xdr:cNvPr>
          <xdr:cNvGrpSpPr/>
        </xdr:nvGrpSpPr>
        <xdr:grpSpPr>
          <a:xfrm>
            <a:off x="220980" y="601980"/>
            <a:ext cx="2446020" cy="990600"/>
            <a:chOff x="289560" y="601980"/>
            <a:chExt cx="2446020" cy="990600"/>
          </a:xfrm>
        </xdr:grpSpPr>
        <xdr:sp macro="" textlink="">
          <xdr:nvSpPr>
            <xdr:cNvPr id="39" name="TextBox 38">
              <a:extLst>
                <a:ext uri="{FF2B5EF4-FFF2-40B4-BE49-F238E27FC236}">
                  <a16:creationId xmlns:a16="http://schemas.microsoft.com/office/drawing/2014/main" id="{1755C6D7-DC72-4E57-892B-5FFE5DE166CB}"/>
                </a:ext>
              </a:extLst>
            </xdr:cNvPr>
            <xdr:cNvSpPr txBox="1"/>
          </xdr:nvSpPr>
          <xdr:spPr>
            <a:xfrm>
              <a:off x="350520" y="601980"/>
              <a:ext cx="1882140" cy="7086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3600">
                  <a:solidFill>
                    <a:schemeClr val="tx1"/>
                  </a:solidFill>
                  <a:latin typeface="Arial Rounded MT Bold" panose="020F0704030504030204" pitchFamily="34" charset="0"/>
                  <a:ea typeface="ADLaM Display" panose="02010000000000000000" pitchFamily="2" charset="0"/>
                  <a:cs typeface="ADLaM Display" panose="02010000000000000000" pitchFamily="2" charset="0"/>
                </a:rPr>
                <a:t>Cereal</a:t>
              </a:r>
              <a:r>
                <a:rPr lang="en-US" sz="4000">
                  <a:solidFill>
                    <a:srgbClr val="F72585"/>
                  </a:solidFill>
                  <a:latin typeface="Arial Rounded MT Bold" panose="020F0704030504030204" pitchFamily="34" charset="0"/>
                  <a:ea typeface="ADLaM Display" panose="02010000000000000000" pitchFamily="2" charset="0"/>
                  <a:cs typeface="ADLaM Display" panose="02010000000000000000" pitchFamily="2" charset="0"/>
                </a:rPr>
                <a:t> </a:t>
              </a:r>
              <a:endParaRPr lang="en-US" sz="3200" b="0">
                <a:solidFill>
                  <a:srgbClr val="F72585"/>
                </a:solidFill>
                <a:latin typeface="Arial Rounded MT Bold" panose="020F0704030504030204" pitchFamily="34" charset="0"/>
                <a:ea typeface="ADLaM Display" panose="02010000000000000000" pitchFamily="2" charset="0"/>
                <a:cs typeface="ADLaM Display" panose="02010000000000000000" pitchFamily="2" charset="0"/>
              </a:endParaRPr>
            </a:p>
          </xdr:txBody>
        </xdr:sp>
        <xdr:sp macro="" textlink="">
          <xdr:nvSpPr>
            <xdr:cNvPr id="41" name="TextBox 40">
              <a:extLst>
                <a:ext uri="{FF2B5EF4-FFF2-40B4-BE49-F238E27FC236}">
                  <a16:creationId xmlns:a16="http://schemas.microsoft.com/office/drawing/2014/main" id="{F66D4550-92FE-BA08-77C8-644B751C5B00}"/>
                </a:ext>
              </a:extLst>
            </xdr:cNvPr>
            <xdr:cNvSpPr txBox="1"/>
          </xdr:nvSpPr>
          <xdr:spPr>
            <a:xfrm>
              <a:off x="289560" y="1051560"/>
              <a:ext cx="2446020" cy="5410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2800" b="0">
                  <a:solidFill>
                    <a:srgbClr val="03045E"/>
                  </a:solidFill>
                  <a:latin typeface="Arial Rounded MT Bold" panose="020F0704030504030204" pitchFamily="34" charset="0"/>
                  <a:ea typeface="ADLaM Display" panose="02010000000000000000" pitchFamily="2" charset="0"/>
                  <a:cs typeface="ADLaM Display" panose="02010000000000000000" pitchFamily="2" charset="0"/>
                </a:rPr>
                <a:t>Nutrient</a:t>
              </a:r>
              <a:r>
                <a:rPr lang="en-US" sz="2000" b="1">
                  <a:solidFill>
                    <a:srgbClr val="03045E"/>
                  </a:solidFill>
                  <a:latin typeface="Arial Rounded MT Bold" panose="020F0704030504030204" pitchFamily="34" charset="0"/>
                  <a:ea typeface="ADLaM Display" panose="02010000000000000000" pitchFamily="2" charset="0"/>
                  <a:cs typeface="ADLaM Display" panose="02010000000000000000" pitchFamily="2" charset="0"/>
                </a:rPr>
                <a:t>Value</a:t>
              </a:r>
              <a:r>
                <a:rPr lang="en-US" sz="1800" b="0">
                  <a:solidFill>
                    <a:srgbClr val="03045E"/>
                  </a:solidFill>
                  <a:latin typeface="Arial Rounded MT Bold" panose="020F0704030504030204" pitchFamily="34" charset="0"/>
                  <a:ea typeface="ADLaM Display" panose="02010000000000000000" pitchFamily="2" charset="0"/>
                  <a:cs typeface="ADLaM Display" panose="02010000000000000000" pitchFamily="2" charset="0"/>
                </a:rPr>
                <a:t> </a:t>
              </a:r>
              <a:endParaRPr lang="en-US" sz="2400" b="0">
                <a:solidFill>
                  <a:srgbClr val="03045E"/>
                </a:solidFill>
                <a:latin typeface="Arial Rounded MT Bold" panose="020F0704030504030204" pitchFamily="34" charset="0"/>
                <a:ea typeface="ADLaM Display" panose="02010000000000000000" pitchFamily="2" charset="0"/>
                <a:cs typeface="ADLaM Display" panose="02010000000000000000" pitchFamily="2" charset="0"/>
              </a:endParaRPr>
            </a:p>
          </xdr:txBody>
        </xdr:sp>
        <xdr:sp macro="" textlink="">
          <xdr:nvSpPr>
            <xdr:cNvPr id="42" name="Rectangle 41">
              <a:extLst>
                <a:ext uri="{FF2B5EF4-FFF2-40B4-BE49-F238E27FC236}">
                  <a16:creationId xmlns:a16="http://schemas.microsoft.com/office/drawing/2014/main" id="{A064856B-98FE-ED98-1013-4787F8F13709}"/>
                </a:ext>
              </a:extLst>
            </xdr:cNvPr>
            <xdr:cNvSpPr/>
          </xdr:nvSpPr>
          <xdr:spPr>
            <a:xfrm>
              <a:off x="320040" y="601980"/>
              <a:ext cx="45720" cy="914400"/>
            </a:xfrm>
            <a:prstGeom prst="rect">
              <a:avLst/>
            </a:prstGeom>
            <a:solidFill>
              <a:srgbClr val="F725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1</xdr:col>
      <xdr:colOff>1</xdr:colOff>
      <xdr:row>0</xdr:row>
      <xdr:rowOff>175260</xdr:rowOff>
    </xdr:from>
    <xdr:to>
      <xdr:col>5</xdr:col>
      <xdr:colOff>1</xdr:colOff>
      <xdr:row>35</xdr:row>
      <xdr:rowOff>0</xdr:rowOff>
    </xdr:to>
    <xdr:grpSp>
      <xdr:nvGrpSpPr>
        <xdr:cNvPr id="36" name="Group 35" hidden="1">
          <a:extLst>
            <a:ext uri="{FF2B5EF4-FFF2-40B4-BE49-F238E27FC236}">
              <a16:creationId xmlns:a16="http://schemas.microsoft.com/office/drawing/2014/main" id="{48BBBFD1-FABE-F4EE-7968-F368B1CB4126}"/>
            </a:ext>
          </a:extLst>
        </xdr:cNvPr>
        <xdr:cNvGrpSpPr/>
      </xdr:nvGrpSpPr>
      <xdr:grpSpPr>
        <a:xfrm>
          <a:off x="190501" y="175260"/>
          <a:ext cx="2438400" cy="6225540"/>
          <a:chOff x="5539741" y="7269480"/>
          <a:chExt cx="2438400" cy="6225540"/>
        </a:xfrm>
      </xdr:grpSpPr>
      <xdr:sp macro="[0]!D_Hide" textlink="">
        <xdr:nvSpPr>
          <xdr:cNvPr id="28" name="Rectangle: Rounded Corners 27" hidden="1">
            <a:extLst>
              <a:ext uri="{FF2B5EF4-FFF2-40B4-BE49-F238E27FC236}">
                <a16:creationId xmlns:a16="http://schemas.microsoft.com/office/drawing/2014/main" id="{627FFBEA-ABB8-FB51-E2A4-13DBC3EDC085}"/>
              </a:ext>
            </a:extLst>
          </xdr:cNvPr>
          <xdr:cNvSpPr/>
        </xdr:nvSpPr>
        <xdr:spPr>
          <a:xfrm>
            <a:off x="5539741" y="7277100"/>
            <a:ext cx="2438400" cy="6217920"/>
          </a:xfrm>
          <a:prstGeom prst="roundRect">
            <a:avLst/>
          </a:prstGeom>
          <a:solidFill>
            <a:srgbClr val="0304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0]!D_Hide">
            <xdr:nvGraphicFramePr>
              <xdr:cNvPr id="2" name="Manufacturer Of Cereal" hidden="1">
                <a:extLst>
                  <a:ext uri="{FF2B5EF4-FFF2-40B4-BE49-F238E27FC236}">
                    <a16:creationId xmlns:a16="http://schemas.microsoft.com/office/drawing/2014/main" id="{074AB630-BC78-38EB-A4F0-AC3ADBAB2B9D}"/>
                  </a:ext>
                </a:extLst>
              </xdr:cNvPr>
              <xdr:cNvGraphicFramePr/>
            </xdr:nvGraphicFramePr>
            <xdr:xfrm>
              <a:off x="5572125" y="8062913"/>
              <a:ext cx="2377440" cy="2453640"/>
            </xdr:xfrm>
            <a:graphic>
              <a:graphicData uri="http://schemas.microsoft.com/office/drawing/2010/slicer">
                <sle:slicer xmlns:sle="http://schemas.microsoft.com/office/drawing/2010/slicer" name="Manufacturer Of Cereal"/>
              </a:graphicData>
            </a:graphic>
          </xdr:graphicFrame>
        </mc:Choice>
        <mc:Fallback xmlns="">
          <xdr:sp macro="" textlink="">
            <xdr:nvSpPr>
              <xdr:cNvPr id="0" name=""/>
              <xdr:cNvSpPr>
                <a:spLocks noTextEdit="1"/>
              </xdr:cNvSpPr>
            </xdr:nvSpPr>
            <xdr:spPr>
              <a:xfrm>
                <a:off x="222885" y="968693"/>
                <a:ext cx="2377440" cy="2453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29" name="Group 28" hidden="1">
            <a:extLst>
              <a:ext uri="{FF2B5EF4-FFF2-40B4-BE49-F238E27FC236}">
                <a16:creationId xmlns:a16="http://schemas.microsoft.com/office/drawing/2014/main" id="{7D2FB367-C870-1530-9644-067F1F246DF7}"/>
              </a:ext>
            </a:extLst>
          </xdr:cNvPr>
          <xdr:cNvGrpSpPr/>
        </xdr:nvGrpSpPr>
        <xdr:grpSpPr>
          <a:xfrm>
            <a:off x="5678805" y="7269480"/>
            <a:ext cx="2164080" cy="914400"/>
            <a:chOff x="190500" y="3108960"/>
            <a:chExt cx="2164080" cy="914400"/>
          </a:xfrm>
        </xdr:grpSpPr>
        <xdr:pic macro="[0]!D_Hide">
          <xdr:nvPicPr>
            <xdr:cNvPr id="31" name="Graphic 30" descr="Filter outline" hidden="1">
              <a:extLst>
                <a:ext uri="{FF2B5EF4-FFF2-40B4-BE49-F238E27FC236}">
                  <a16:creationId xmlns:a16="http://schemas.microsoft.com/office/drawing/2014/main" id="{94FAC55A-83B7-D838-472D-5E48B116E9D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rcRect/>
            <a:stretch/>
          </xdr:blipFill>
          <xdr:spPr>
            <a:xfrm>
              <a:off x="190500" y="3108960"/>
              <a:ext cx="914400" cy="914400"/>
            </a:xfrm>
            <a:prstGeom prst="rect">
              <a:avLst/>
            </a:prstGeom>
          </xdr:spPr>
        </xdr:pic>
        <xdr:sp macro="[0]!D_Hide" textlink="">
          <xdr:nvSpPr>
            <xdr:cNvPr id="32" name="TextBox 31" hidden="1">
              <a:extLst>
                <a:ext uri="{FF2B5EF4-FFF2-40B4-BE49-F238E27FC236}">
                  <a16:creationId xmlns:a16="http://schemas.microsoft.com/office/drawing/2014/main" id="{1DF31575-0351-2827-2B18-BFEB0A7FB7F0}"/>
                </a:ext>
              </a:extLst>
            </xdr:cNvPr>
            <xdr:cNvSpPr txBox="1"/>
          </xdr:nvSpPr>
          <xdr:spPr>
            <a:xfrm>
              <a:off x="617220" y="3368040"/>
              <a:ext cx="1737360" cy="5410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4000" b="0">
                  <a:solidFill>
                    <a:schemeClr val="bg1"/>
                  </a:solidFill>
                  <a:latin typeface="ADLaM Display" panose="02010000000000000000" pitchFamily="2" charset="0"/>
                  <a:ea typeface="ADLaM Display" panose="02010000000000000000" pitchFamily="2" charset="0"/>
                  <a:cs typeface="ADLaM Display" panose="02010000000000000000" pitchFamily="2" charset="0"/>
                </a:rPr>
                <a:t>Filters</a:t>
              </a:r>
              <a:endParaRPr lang="en-US" sz="3200" b="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grpSp>
      <xdr:pic macro="[0]!D_Hide">
        <xdr:nvPicPr>
          <xdr:cNvPr id="47" name="Graphic 46" descr="Home1 with solid fill" hidden="1">
            <a:extLst>
              <a:ext uri="{FF2B5EF4-FFF2-40B4-BE49-F238E27FC236}">
                <a16:creationId xmlns:a16="http://schemas.microsoft.com/office/drawing/2014/main" id="{45E08553-14EB-75F2-AF06-99FE728402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6233160" y="12439650"/>
            <a:ext cx="1055370" cy="1055370"/>
          </a:xfrm>
          <a:prstGeom prst="rect">
            <a:avLst/>
          </a:prstGeom>
        </xdr:spPr>
      </xdr:pic>
      <mc:AlternateContent xmlns:mc="http://schemas.openxmlformats.org/markup-compatibility/2006" xmlns:a14="http://schemas.microsoft.com/office/drawing/2010/main">
        <mc:Choice Requires="a14">
          <xdr:graphicFrame macro="[0]!D_Hide">
            <xdr:nvGraphicFramePr>
              <xdr:cNvPr id="3" name="Nutrient Density Category 1" hidden="1">
                <a:extLst>
                  <a:ext uri="{FF2B5EF4-FFF2-40B4-BE49-F238E27FC236}">
                    <a16:creationId xmlns:a16="http://schemas.microsoft.com/office/drawing/2014/main" id="{F82E52A5-130F-D495-82C8-C659EEC5ED95}"/>
                  </a:ext>
                </a:extLst>
              </xdr:cNvPr>
              <xdr:cNvGraphicFramePr/>
            </xdr:nvGraphicFramePr>
            <xdr:xfrm>
              <a:off x="5572125" y="10395586"/>
              <a:ext cx="2377440" cy="1295399"/>
            </xdr:xfrm>
            <a:graphic>
              <a:graphicData uri="http://schemas.microsoft.com/office/drawing/2010/slicer">
                <sle:slicer xmlns:sle="http://schemas.microsoft.com/office/drawing/2010/slicer" name="Nutrient Density Category 1"/>
              </a:graphicData>
            </a:graphic>
          </xdr:graphicFrame>
        </mc:Choice>
        <mc:Fallback xmlns="">
          <xdr:sp macro="" textlink="">
            <xdr:nvSpPr>
              <xdr:cNvPr id="0" name=""/>
              <xdr:cNvSpPr>
                <a:spLocks noTextEdit="1"/>
              </xdr:cNvSpPr>
            </xdr:nvSpPr>
            <xdr:spPr>
              <a:xfrm>
                <a:off x="222885" y="3301366"/>
                <a:ext cx="2377440" cy="1295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0]!D_Hide">
            <xdr:nvGraphicFramePr>
              <xdr:cNvPr id="72" name="Type" hidden="1">
                <a:extLst>
                  <a:ext uri="{FF2B5EF4-FFF2-40B4-BE49-F238E27FC236}">
                    <a16:creationId xmlns:a16="http://schemas.microsoft.com/office/drawing/2014/main" id="{8B8B95FE-2EF6-506E-5EF5-46A3095C99EE}"/>
                  </a:ext>
                </a:extLst>
              </xdr:cNvPr>
              <xdr:cNvGraphicFramePr/>
            </xdr:nvGraphicFramePr>
            <xdr:xfrm>
              <a:off x="5572125" y="11570019"/>
              <a:ext cx="2377440" cy="1010601"/>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222885" y="4475799"/>
                <a:ext cx="2377440" cy="10106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7</xdr:col>
      <xdr:colOff>457200</xdr:colOff>
      <xdr:row>1</xdr:row>
      <xdr:rowOff>0</xdr:rowOff>
    </xdr:from>
    <xdr:to>
      <xdr:col>10</xdr:col>
      <xdr:colOff>205740</xdr:colOff>
      <xdr:row>8</xdr:row>
      <xdr:rowOff>0</xdr:rowOff>
    </xdr:to>
    <xdr:sp macro="" textlink="WorkSheet!AL13">
      <xdr:nvSpPr>
        <xdr:cNvPr id="12" name="Rectangle: Rounded Corners 11">
          <a:extLst>
            <a:ext uri="{FF2B5EF4-FFF2-40B4-BE49-F238E27FC236}">
              <a16:creationId xmlns:a16="http://schemas.microsoft.com/office/drawing/2014/main" id="{8A117851-F7CC-4A8E-9E9A-862E87F8FD57}"/>
            </a:ext>
          </a:extLst>
        </xdr:cNvPr>
        <xdr:cNvSpPr>
          <a:spLocks noChangeAspect="1"/>
        </xdr:cNvSpPr>
      </xdr:nvSpPr>
      <xdr:spPr>
        <a:xfrm>
          <a:off x="5448300" y="182880"/>
          <a:ext cx="2438400" cy="1280160"/>
        </a:xfrm>
        <a:prstGeom prst="roundRect">
          <a:avLst/>
        </a:prstGeom>
        <a:solidFill>
          <a:srgbClr val="9BF3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F4D241A-97B9-4595-9EB3-FFF7D23F50A4}" type="TxLink">
            <a:rPr lang="en-US" sz="8000" b="0" i="0" u="none" strike="noStrike">
              <a:solidFill>
                <a:srgbClr val="03045E"/>
              </a:solidFill>
              <a:latin typeface="Amasis MT Pro Black" panose="02040A04050005020304" pitchFamily="18" charset="0"/>
              <a:ea typeface="+mn-ea"/>
              <a:cs typeface="+mn-cs"/>
            </a:rPr>
            <a:pPr algn="ctr"/>
            <a:t>7</a:t>
          </a:fld>
          <a:endParaRPr lang="en-US" sz="8000" b="0" i="0" u="none" strike="noStrike">
            <a:solidFill>
              <a:srgbClr val="03045E"/>
            </a:solidFill>
            <a:latin typeface="Amasis MT Pro Black" panose="02040A04050005020304" pitchFamily="18" charset="0"/>
            <a:ea typeface="+mn-ea"/>
            <a:cs typeface="+mn-cs"/>
          </a:endParaRPr>
        </a:p>
      </xdr:txBody>
    </xdr:sp>
    <xdr:clientData/>
  </xdr:twoCellAnchor>
  <xdr:twoCellAnchor editAs="absolute">
    <xdr:from>
      <xdr:col>15</xdr:col>
      <xdr:colOff>335280</xdr:colOff>
      <xdr:row>1</xdr:row>
      <xdr:rowOff>0</xdr:rowOff>
    </xdr:from>
    <xdr:to>
      <xdr:col>19</xdr:col>
      <xdr:colOff>30480</xdr:colOff>
      <xdr:row>8</xdr:row>
      <xdr:rowOff>0</xdr:rowOff>
    </xdr:to>
    <xdr:sp macro="" textlink="WorkSheet!AK13">
      <xdr:nvSpPr>
        <xdr:cNvPr id="14" name="Rectangle: Rounded Corners 13">
          <a:extLst>
            <a:ext uri="{FF2B5EF4-FFF2-40B4-BE49-F238E27FC236}">
              <a16:creationId xmlns:a16="http://schemas.microsoft.com/office/drawing/2014/main" id="{46ED2622-BDDB-49A6-A638-1A38B2FBAFB4}"/>
            </a:ext>
          </a:extLst>
        </xdr:cNvPr>
        <xdr:cNvSpPr>
          <a:spLocks noChangeAspect="1"/>
        </xdr:cNvSpPr>
      </xdr:nvSpPr>
      <xdr:spPr>
        <a:xfrm>
          <a:off x="10706100" y="182880"/>
          <a:ext cx="2438400" cy="1280160"/>
        </a:xfrm>
        <a:prstGeom prst="roundRect">
          <a:avLst/>
        </a:prstGeom>
        <a:solidFill>
          <a:srgbClr val="9BF3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AC7B906-03E7-4EF9-8009-E869F21394D4}" type="TxLink">
            <a:rPr lang="en-US" sz="8000" b="0" i="0" u="none" strike="noStrike">
              <a:solidFill>
                <a:srgbClr val="03045E"/>
              </a:solidFill>
              <a:latin typeface="Amasis MT Pro Black" panose="02040A04050005020304" pitchFamily="18" charset="0"/>
              <a:ea typeface="+mn-ea"/>
              <a:cs typeface="+mn-cs"/>
            </a:rPr>
            <a:pPr marL="0" indent="0" algn="ctr"/>
            <a:t>77</a:t>
          </a:fld>
          <a:endParaRPr lang="en-US" sz="8000" b="0" i="0" u="none" strike="noStrike">
            <a:solidFill>
              <a:srgbClr val="03045E"/>
            </a:solidFill>
            <a:latin typeface="Amasis MT Pro Black" panose="02040A04050005020304" pitchFamily="18" charset="0"/>
            <a:ea typeface="+mn-ea"/>
            <a:cs typeface="+mn-cs"/>
          </a:endParaRPr>
        </a:p>
      </xdr:txBody>
    </xdr:sp>
    <xdr:clientData/>
  </xdr:twoCellAnchor>
  <xdr:twoCellAnchor editAs="absolute">
    <xdr:from>
      <xdr:col>6</xdr:col>
      <xdr:colOff>0</xdr:colOff>
      <xdr:row>1</xdr:row>
      <xdr:rowOff>0</xdr:rowOff>
    </xdr:from>
    <xdr:to>
      <xdr:col>7</xdr:col>
      <xdr:colOff>266700</xdr:colOff>
      <xdr:row>8</xdr:row>
      <xdr:rowOff>0</xdr:rowOff>
    </xdr:to>
    <xdr:sp macro="" textlink="">
      <xdr:nvSpPr>
        <xdr:cNvPr id="18" name="Rectangle: Rounded Corners 17">
          <a:extLst>
            <a:ext uri="{FF2B5EF4-FFF2-40B4-BE49-F238E27FC236}">
              <a16:creationId xmlns:a16="http://schemas.microsoft.com/office/drawing/2014/main" id="{7A1E8740-6B67-4DA1-8C05-0DC354BED5BA}"/>
            </a:ext>
          </a:extLst>
        </xdr:cNvPr>
        <xdr:cNvSpPr>
          <a:spLocks noChangeAspect="1"/>
        </xdr:cNvSpPr>
      </xdr:nvSpPr>
      <xdr:spPr>
        <a:xfrm>
          <a:off x="2819400" y="182880"/>
          <a:ext cx="2438400" cy="1280160"/>
        </a:xfrm>
        <a:prstGeom prst="roundRect">
          <a:avLst/>
        </a:prstGeom>
        <a:solidFill>
          <a:srgbClr val="9BF3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solidFill>
                <a:srgbClr val="03045E"/>
              </a:solidFill>
              <a:latin typeface="Amasis MT Pro Black" panose="02040A04050005020304" pitchFamily="18" charset="0"/>
            </a:rPr>
            <a:t>Total </a:t>
          </a:r>
          <a:r>
            <a:rPr lang="en-US" sz="2000">
              <a:solidFill>
                <a:srgbClr val="03045E"/>
              </a:solidFill>
              <a:latin typeface="Amasis MT Pro Black" panose="02040A04050005020304" pitchFamily="18" charset="0"/>
            </a:rPr>
            <a:t>Manufacturer</a:t>
          </a:r>
          <a:endParaRPr lang="en-US" sz="3200">
            <a:solidFill>
              <a:srgbClr val="03045E"/>
            </a:solidFill>
            <a:latin typeface="Amasis MT Pro Black" panose="02040A04050005020304" pitchFamily="18" charset="0"/>
          </a:endParaRPr>
        </a:p>
      </xdr:txBody>
    </xdr:sp>
    <xdr:clientData/>
  </xdr:twoCellAnchor>
  <xdr:twoCellAnchor editAs="absolute">
    <xdr:from>
      <xdr:col>10</xdr:col>
      <xdr:colOff>396240</xdr:colOff>
      <xdr:row>1</xdr:row>
      <xdr:rowOff>0</xdr:rowOff>
    </xdr:from>
    <xdr:to>
      <xdr:col>15</xdr:col>
      <xdr:colOff>144780</xdr:colOff>
      <xdr:row>8</xdr:row>
      <xdr:rowOff>0</xdr:rowOff>
    </xdr:to>
    <xdr:sp macro="" textlink="">
      <xdr:nvSpPr>
        <xdr:cNvPr id="19" name="Rectangle: Rounded Corners 18">
          <a:extLst>
            <a:ext uri="{FF2B5EF4-FFF2-40B4-BE49-F238E27FC236}">
              <a16:creationId xmlns:a16="http://schemas.microsoft.com/office/drawing/2014/main" id="{E6C9CE31-10DA-46DC-8101-0E109538E135}"/>
            </a:ext>
          </a:extLst>
        </xdr:cNvPr>
        <xdr:cNvSpPr>
          <a:spLocks noChangeAspect="1"/>
        </xdr:cNvSpPr>
      </xdr:nvSpPr>
      <xdr:spPr>
        <a:xfrm>
          <a:off x="8077200" y="182880"/>
          <a:ext cx="2438400" cy="1280160"/>
        </a:xfrm>
        <a:prstGeom prst="roundRect">
          <a:avLst/>
        </a:prstGeom>
        <a:solidFill>
          <a:srgbClr val="9BF3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3200">
              <a:solidFill>
                <a:srgbClr val="03045E"/>
              </a:solidFill>
              <a:latin typeface="Amasis MT Pro Black" panose="02040A04050005020304" pitchFamily="18" charset="0"/>
              <a:ea typeface="+mn-ea"/>
              <a:cs typeface="+mn-cs"/>
            </a:rPr>
            <a:t>Total Products</a:t>
          </a:r>
        </a:p>
      </xdr:txBody>
    </xdr:sp>
    <xdr:clientData/>
  </xdr:twoCellAnchor>
  <mc:AlternateContent xmlns:mc="http://schemas.openxmlformats.org/markup-compatibility/2006">
    <mc:Choice xmlns:a14="http://schemas.microsoft.com/office/drawing/2010/main" Requires="a14">
      <xdr:twoCellAnchor editAs="oneCell">
        <xdr:from>
          <xdr:col>18</xdr:col>
          <xdr:colOff>0</xdr:colOff>
          <xdr:row>9</xdr:row>
          <xdr:rowOff>0</xdr:rowOff>
        </xdr:from>
        <xdr:to>
          <xdr:col>19</xdr:col>
          <xdr:colOff>0</xdr:colOff>
          <xdr:row>35</xdr:row>
          <xdr:rowOff>0</xdr:rowOff>
        </xdr:to>
        <xdr:sp macro="" textlink="">
          <xdr:nvSpPr>
            <xdr:cNvPr id="3078" name="Scroll Bar 6"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xdr:col>
      <xdr:colOff>3810</xdr:colOff>
      <xdr:row>1</xdr:row>
      <xdr:rowOff>0</xdr:rowOff>
    </xdr:from>
    <xdr:to>
      <xdr:col>5</xdr:col>
      <xdr:colOff>3810</xdr:colOff>
      <xdr:row>35</xdr:row>
      <xdr:rowOff>0</xdr:rowOff>
    </xdr:to>
    <xdr:sp macro="" textlink="">
      <xdr:nvSpPr>
        <xdr:cNvPr id="15" name="Rectangle: Rounded Corners 14">
          <a:extLst>
            <a:ext uri="{FF2B5EF4-FFF2-40B4-BE49-F238E27FC236}">
              <a16:creationId xmlns:a16="http://schemas.microsoft.com/office/drawing/2014/main" id="{155E9DEF-AF95-42EE-B8D8-C3591032F680}"/>
            </a:ext>
          </a:extLst>
        </xdr:cNvPr>
        <xdr:cNvSpPr/>
      </xdr:nvSpPr>
      <xdr:spPr>
        <a:xfrm>
          <a:off x="194310" y="182880"/>
          <a:ext cx="2438400" cy="6217920"/>
        </a:xfrm>
        <a:prstGeom prst="roundRect">
          <a:avLst/>
        </a:prstGeom>
        <a:solidFill>
          <a:srgbClr val="9BF3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11</xdr:row>
      <xdr:rowOff>60960</xdr:rowOff>
    </xdr:from>
    <xdr:to>
      <xdr:col>5</xdr:col>
      <xdr:colOff>30480</xdr:colOff>
      <xdr:row>18</xdr:row>
      <xdr:rowOff>60960</xdr:rowOff>
    </xdr:to>
    <xdr:grpSp>
      <xdr:nvGrpSpPr>
        <xdr:cNvPr id="26" name="Group 25">
          <a:hlinkClick xmlns:r="http://schemas.openxmlformats.org/officeDocument/2006/relationships" r:id="rId1"/>
          <a:extLst>
            <a:ext uri="{FF2B5EF4-FFF2-40B4-BE49-F238E27FC236}">
              <a16:creationId xmlns:a16="http://schemas.microsoft.com/office/drawing/2014/main" id="{C084F2E6-5C02-4792-9B72-36C93C16FB44}"/>
            </a:ext>
          </a:extLst>
        </xdr:cNvPr>
        <xdr:cNvGrpSpPr/>
      </xdr:nvGrpSpPr>
      <xdr:grpSpPr>
        <a:xfrm>
          <a:off x="190500" y="2072640"/>
          <a:ext cx="2468880" cy="1280160"/>
          <a:chOff x="190500" y="2926080"/>
          <a:chExt cx="2468880" cy="1280160"/>
        </a:xfrm>
      </xdr:grpSpPr>
      <xdr:sp macro="" textlink="">
        <xdr:nvSpPr>
          <xdr:cNvPr id="27" name="Rectangle: Rounded Corners 26">
            <a:extLst>
              <a:ext uri="{FF2B5EF4-FFF2-40B4-BE49-F238E27FC236}">
                <a16:creationId xmlns:a16="http://schemas.microsoft.com/office/drawing/2014/main" id="{C0866515-3C5A-C7AD-FE96-368903C4D19A}"/>
              </a:ext>
            </a:extLst>
          </xdr:cNvPr>
          <xdr:cNvSpPr/>
        </xdr:nvSpPr>
        <xdr:spPr>
          <a:xfrm>
            <a:off x="190500" y="2926080"/>
            <a:ext cx="2438400" cy="1280160"/>
          </a:xfrm>
          <a:prstGeom prst="roundRect">
            <a:avLst>
              <a:gd name="adj" fmla="val 0"/>
            </a:avLst>
          </a:prstGeom>
          <a:solidFill>
            <a:srgbClr val="DAFFE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200">
              <a:solidFill>
                <a:srgbClr val="03045E"/>
              </a:solidFill>
              <a:latin typeface="Amasis MT Pro Black" panose="02040A04050005020304" pitchFamily="18" charset="0"/>
              <a:ea typeface="+mn-ea"/>
              <a:cs typeface="+mn-cs"/>
            </a:endParaRPr>
          </a:p>
        </xdr:txBody>
      </xdr:sp>
      <xdr:pic>
        <xdr:nvPicPr>
          <xdr:cNvPr id="32" name="Graphic 31" descr="Home1 with solid fill">
            <a:extLst>
              <a:ext uri="{FF2B5EF4-FFF2-40B4-BE49-F238E27FC236}">
                <a16:creationId xmlns:a16="http://schemas.microsoft.com/office/drawing/2014/main" id="{9CF84B4C-0068-B04E-D687-9F5D1BD0C5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90500" y="3108960"/>
            <a:ext cx="914400" cy="914400"/>
          </a:xfrm>
          <a:prstGeom prst="rect">
            <a:avLst/>
          </a:prstGeom>
        </xdr:spPr>
      </xdr:pic>
      <xdr:sp macro="" textlink="">
        <xdr:nvSpPr>
          <xdr:cNvPr id="33" name="TextBox 32">
            <a:extLst>
              <a:ext uri="{FF2B5EF4-FFF2-40B4-BE49-F238E27FC236}">
                <a16:creationId xmlns:a16="http://schemas.microsoft.com/office/drawing/2014/main" id="{D10F8DA9-A6C3-605E-1C0D-5E35AB762702}"/>
              </a:ext>
            </a:extLst>
          </xdr:cNvPr>
          <xdr:cNvSpPr txBox="1"/>
        </xdr:nvSpPr>
        <xdr:spPr>
          <a:xfrm>
            <a:off x="922020" y="3368040"/>
            <a:ext cx="1737360" cy="5410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4000" b="0">
                <a:solidFill>
                  <a:srgbClr val="473198"/>
                </a:solidFill>
                <a:latin typeface="ADLaM Display" panose="02010000000000000000" pitchFamily="2" charset="0"/>
                <a:ea typeface="ADLaM Display" panose="02010000000000000000" pitchFamily="2" charset="0"/>
                <a:cs typeface="ADLaM Display" panose="02010000000000000000" pitchFamily="2" charset="0"/>
              </a:rPr>
              <a:t>Home</a:t>
            </a:r>
            <a:endParaRPr lang="en-US" sz="3200" b="0">
              <a:solidFill>
                <a:srgbClr val="473198"/>
              </a:solidFill>
              <a:latin typeface="ADLaM Display" panose="02010000000000000000" pitchFamily="2" charset="0"/>
              <a:ea typeface="ADLaM Display" panose="02010000000000000000" pitchFamily="2" charset="0"/>
              <a:cs typeface="ADLaM Display" panose="02010000000000000000" pitchFamily="2" charset="0"/>
            </a:endParaRPr>
          </a:p>
        </xdr:txBody>
      </xdr:sp>
    </xdr:grpSp>
    <xdr:clientData/>
  </xdr:twoCellAnchor>
  <xdr:twoCellAnchor>
    <xdr:from>
      <xdr:col>1</xdr:col>
      <xdr:colOff>0</xdr:colOff>
      <xdr:row>18</xdr:row>
      <xdr:rowOff>171450</xdr:rowOff>
    </xdr:from>
    <xdr:to>
      <xdr:col>5</xdr:col>
      <xdr:colOff>30480</xdr:colOff>
      <xdr:row>25</xdr:row>
      <xdr:rowOff>171450</xdr:rowOff>
    </xdr:to>
    <xdr:grpSp>
      <xdr:nvGrpSpPr>
        <xdr:cNvPr id="34" name="Group 33">
          <a:hlinkClick xmlns:r="http://schemas.openxmlformats.org/officeDocument/2006/relationships" r:id="rId4"/>
          <a:extLst>
            <a:ext uri="{FF2B5EF4-FFF2-40B4-BE49-F238E27FC236}">
              <a16:creationId xmlns:a16="http://schemas.microsoft.com/office/drawing/2014/main" id="{5A0BB62E-3BE9-4516-92FD-DB797FBB764C}"/>
            </a:ext>
          </a:extLst>
        </xdr:cNvPr>
        <xdr:cNvGrpSpPr/>
      </xdr:nvGrpSpPr>
      <xdr:grpSpPr>
        <a:xfrm>
          <a:off x="190500" y="3463290"/>
          <a:ext cx="2468880" cy="1280160"/>
          <a:chOff x="190500" y="2926080"/>
          <a:chExt cx="2468880" cy="1280160"/>
        </a:xfrm>
      </xdr:grpSpPr>
      <xdr:sp macro="" textlink="">
        <xdr:nvSpPr>
          <xdr:cNvPr id="35" name="Rectangle: Rounded Corners 34">
            <a:extLst>
              <a:ext uri="{FF2B5EF4-FFF2-40B4-BE49-F238E27FC236}">
                <a16:creationId xmlns:a16="http://schemas.microsoft.com/office/drawing/2014/main" id="{26255289-C2E2-3464-3661-2BC3DB589ADA}"/>
              </a:ext>
            </a:extLst>
          </xdr:cNvPr>
          <xdr:cNvSpPr/>
        </xdr:nvSpPr>
        <xdr:spPr>
          <a:xfrm>
            <a:off x="190500" y="2926080"/>
            <a:ext cx="2438400" cy="1280160"/>
          </a:xfrm>
          <a:prstGeom prst="roundRect">
            <a:avLst>
              <a:gd name="adj" fmla="val 0"/>
            </a:avLst>
          </a:prstGeom>
          <a:solidFill>
            <a:srgbClr val="0304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200">
              <a:solidFill>
                <a:srgbClr val="03045E"/>
              </a:solidFill>
              <a:latin typeface="Amasis MT Pro Black" panose="02040A04050005020304" pitchFamily="18" charset="0"/>
              <a:ea typeface="+mn-ea"/>
              <a:cs typeface="+mn-cs"/>
            </a:endParaRPr>
          </a:p>
        </xdr:txBody>
      </xdr:sp>
      <xdr:pic>
        <xdr:nvPicPr>
          <xdr:cNvPr id="36" name="Graphic 35" descr="Database outline">
            <a:extLst>
              <a:ext uri="{FF2B5EF4-FFF2-40B4-BE49-F238E27FC236}">
                <a16:creationId xmlns:a16="http://schemas.microsoft.com/office/drawing/2014/main" id="{63C2F956-C3A7-388F-0431-ED8BDE6C17A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0500" y="3108960"/>
            <a:ext cx="914400" cy="914400"/>
          </a:xfrm>
          <a:prstGeom prst="rect">
            <a:avLst/>
          </a:prstGeom>
        </xdr:spPr>
      </xdr:pic>
      <xdr:sp macro="" textlink="">
        <xdr:nvSpPr>
          <xdr:cNvPr id="37" name="TextBox 36">
            <a:extLst>
              <a:ext uri="{FF2B5EF4-FFF2-40B4-BE49-F238E27FC236}">
                <a16:creationId xmlns:a16="http://schemas.microsoft.com/office/drawing/2014/main" id="{5E2768C2-79BB-8BCF-2475-3117357BE573}"/>
              </a:ext>
            </a:extLst>
          </xdr:cNvPr>
          <xdr:cNvSpPr txBox="1"/>
        </xdr:nvSpPr>
        <xdr:spPr>
          <a:xfrm>
            <a:off x="922020" y="3368040"/>
            <a:ext cx="1737360" cy="5410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3200" b="0">
                <a:solidFill>
                  <a:schemeClr val="bg1"/>
                </a:solidFill>
                <a:latin typeface="ADLaM Display" panose="02010000000000000000" pitchFamily="2" charset="0"/>
                <a:ea typeface="ADLaM Display" panose="02010000000000000000" pitchFamily="2" charset="0"/>
                <a:cs typeface="ADLaM Display" panose="02010000000000000000" pitchFamily="2" charset="0"/>
              </a:rPr>
              <a:t>Details</a:t>
            </a:r>
          </a:p>
        </xdr:txBody>
      </xdr:sp>
    </xdr:grpSp>
    <xdr:clientData/>
  </xdr:twoCellAnchor>
  <xdr:twoCellAnchor>
    <xdr:from>
      <xdr:col>1</xdr:col>
      <xdr:colOff>0</xdr:colOff>
      <xdr:row>27</xdr:row>
      <xdr:rowOff>106680</xdr:rowOff>
    </xdr:from>
    <xdr:to>
      <xdr:col>5</xdr:col>
      <xdr:colOff>0</xdr:colOff>
      <xdr:row>34</xdr:row>
      <xdr:rowOff>106680</xdr:rowOff>
    </xdr:to>
    <xdr:grpSp>
      <xdr:nvGrpSpPr>
        <xdr:cNvPr id="38" name="Group 37">
          <a:extLst>
            <a:ext uri="{FF2B5EF4-FFF2-40B4-BE49-F238E27FC236}">
              <a16:creationId xmlns:a16="http://schemas.microsoft.com/office/drawing/2014/main" id="{F75C3AED-8461-40D1-8781-9A7D3056641E}"/>
            </a:ext>
          </a:extLst>
        </xdr:cNvPr>
        <xdr:cNvGrpSpPr/>
      </xdr:nvGrpSpPr>
      <xdr:grpSpPr>
        <a:xfrm>
          <a:off x="190500" y="5044440"/>
          <a:ext cx="2438400" cy="1280160"/>
          <a:chOff x="190500" y="2926080"/>
          <a:chExt cx="2438400" cy="1280160"/>
        </a:xfrm>
      </xdr:grpSpPr>
      <xdr:sp macro="[0]!Detaild_filters" textlink="">
        <xdr:nvSpPr>
          <xdr:cNvPr id="39" name="Rectangle: Rounded Corners 38">
            <a:extLst>
              <a:ext uri="{FF2B5EF4-FFF2-40B4-BE49-F238E27FC236}">
                <a16:creationId xmlns:a16="http://schemas.microsoft.com/office/drawing/2014/main" id="{58295F00-A828-2933-9D20-4BD63FED38D6}"/>
              </a:ext>
            </a:extLst>
          </xdr:cNvPr>
          <xdr:cNvSpPr/>
        </xdr:nvSpPr>
        <xdr:spPr>
          <a:xfrm>
            <a:off x="190500" y="2926080"/>
            <a:ext cx="2438400" cy="1280160"/>
          </a:xfrm>
          <a:prstGeom prst="roundRect">
            <a:avLst>
              <a:gd name="adj" fmla="val 50000"/>
            </a:avLst>
          </a:prstGeom>
          <a:solidFill>
            <a:srgbClr val="C0FD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200">
              <a:solidFill>
                <a:srgbClr val="03045E"/>
              </a:solidFill>
              <a:latin typeface="Amasis MT Pro Black" panose="02040A04050005020304" pitchFamily="18" charset="0"/>
              <a:ea typeface="+mn-ea"/>
              <a:cs typeface="+mn-cs"/>
            </a:endParaRPr>
          </a:p>
        </xdr:txBody>
      </xdr:sp>
      <xdr:pic macro="[0]!Detaild_filters">
        <xdr:nvPicPr>
          <xdr:cNvPr id="40" name="Graphic 39" descr="Filter outline">
            <a:extLst>
              <a:ext uri="{FF2B5EF4-FFF2-40B4-BE49-F238E27FC236}">
                <a16:creationId xmlns:a16="http://schemas.microsoft.com/office/drawing/2014/main" id="{A15BC520-E87B-A95F-6EA9-F7C840E5D6A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320040" y="3108960"/>
            <a:ext cx="914400" cy="914400"/>
          </a:xfrm>
          <a:prstGeom prst="rect">
            <a:avLst/>
          </a:prstGeom>
        </xdr:spPr>
      </xdr:pic>
      <xdr:sp macro="[0]!Detaild_filters" textlink="">
        <xdr:nvSpPr>
          <xdr:cNvPr id="41" name="TextBox 40">
            <a:extLst>
              <a:ext uri="{FF2B5EF4-FFF2-40B4-BE49-F238E27FC236}">
                <a16:creationId xmlns:a16="http://schemas.microsoft.com/office/drawing/2014/main" id="{3CEEA6C3-21E0-7BBB-B4DA-B46F60787A17}"/>
              </a:ext>
            </a:extLst>
          </xdr:cNvPr>
          <xdr:cNvSpPr txBox="1"/>
        </xdr:nvSpPr>
        <xdr:spPr>
          <a:xfrm>
            <a:off x="746760" y="3368040"/>
            <a:ext cx="1737360" cy="5410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4000" b="0">
                <a:solidFill>
                  <a:srgbClr val="473198"/>
                </a:solidFill>
                <a:latin typeface="ADLaM Display" panose="02010000000000000000" pitchFamily="2" charset="0"/>
                <a:ea typeface="ADLaM Display" panose="02010000000000000000" pitchFamily="2" charset="0"/>
                <a:cs typeface="ADLaM Display" panose="02010000000000000000" pitchFamily="2" charset="0"/>
              </a:rPr>
              <a:t>Filters</a:t>
            </a:r>
            <a:endParaRPr lang="en-US" sz="3200" b="0">
              <a:solidFill>
                <a:srgbClr val="473198"/>
              </a:solidFill>
              <a:latin typeface="ADLaM Display" panose="02010000000000000000" pitchFamily="2" charset="0"/>
              <a:ea typeface="ADLaM Display" panose="02010000000000000000" pitchFamily="2" charset="0"/>
              <a:cs typeface="ADLaM Display" panose="02010000000000000000" pitchFamily="2" charset="0"/>
            </a:endParaRPr>
          </a:p>
        </xdr:txBody>
      </xdr:sp>
    </xdr:grpSp>
    <xdr:clientData/>
  </xdr:twoCellAnchor>
  <xdr:twoCellAnchor>
    <xdr:from>
      <xdr:col>1</xdr:col>
      <xdr:colOff>34290</xdr:colOff>
      <xdr:row>2</xdr:row>
      <xdr:rowOff>138599</xdr:rowOff>
    </xdr:from>
    <xdr:to>
      <xdr:col>5</xdr:col>
      <xdr:colOff>41910</xdr:colOff>
      <xdr:row>8</xdr:row>
      <xdr:rowOff>129540</xdr:rowOff>
    </xdr:to>
    <xdr:grpSp>
      <xdr:nvGrpSpPr>
        <xdr:cNvPr id="42" name="Group 41">
          <a:extLst>
            <a:ext uri="{FF2B5EF4-FFF2-40B4-BE49-F238E27FC236}">
              <a16:creationId xmlns:a16="http://schemas.microsoft.com/office/drawing/2014/main" id="{50A7DAF5-8CCD-4C82-9620-CDB0ECBC55B7}"/>
            </a:ext>
          </a:extLst>
        </xdr:cNvPr>
        <xdr:cNvGrpSpPr/>
      </xdr:nvGrpSpPr>
      <xdr:grpSpPr>
        <a:xfrm>
          <a:off x="224790" y="504359"/>
          <a:ext cx="2446020" cy="1088221"/>
          <a:chOff x="220980" y="504359"/>
          <a:chExt cx="2446020" cy="1088221"/>
        </a:xfrm>
      </xdr:grpSpPr>
      <xdr:pic>
        <xdr:nvPicPr>
          <xdr:cNvPr id="43" name="Picture 42" descr="Overhead view of Muesli with milk">
            <a:extLst>
              <a:ext uri="{FF2B5EF4-FFF2-40B4-BE49-F238E27FC236}">
                <a16:creationId xmlns:a16="http://schemas.microsoft.com/office/drawing/2014/main" id="{2B3E428B-5C5E-0361-E16D-299F10E82CCA}"/>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1729741" y="504359"/>
            <a:ext cx="914399" cy="914617"/>
          </a:xfrm>
          <a:prstGeom prst="rect">
            <a:avLst/>
          </a:prstGeom>
          <a:ln>
            <a:noFill/>
          </a:ln>
          <a:effectLst/>
        </xdr:spPr>
      </xdr:pic>
      <xdr:grpSp>
        <xdr:nvGrpSpPr>
          <xdr:cNvPr id="44" name="Group 43">
            <a:extLst>
              <a:ext uri="{FF2B5EF4-FFF2-40B4-BE49-F238E27FC236}">
                <a16:creationId xmlns:a16="http://schemas.microsoft.com/office/drawing/2014/main" id="{51AAD646-C0E6-249A-BC91-78972CB5D440}"/>
              </a:ext>
            </a:extLst>
          </xdr:cNvPr>
          <xdr:cNvGrpSpPr/>
        </xdr:nvGrpSpPr>
        <xdr:grpSpPr>
          <a:xfrm>
            <a:off x="220980" y="601980"/>
            <a:ext cx="2446020" cy="990600"/>
            <a:chOff x="289560" y="601980"/>
            <a:chExt cx="2446020" cy="990600"/>
          </a:xfrm>
        </xdr:grpSpPr>
        <xdr:sp macro="" textlink="">
          <xdr:nvSpPr>
            <xdr:cNvPr id="45" name="TextBox 44">
              <a:extLst>
                <a:ext uri="{FF2B5EF4-FFF2-40B4-BE49-F238E27FC236}">
                  <a16:creationId xmlns:a16="http://schemas.microsoft.com/office/drawing/2014/main" id="{2AB28677-2464-0492-B710-AD976641DEC7}"/>
                </a:ext>
              </a:extLst>
            </xdr:cNvPr>
            <xdr:cNvSpPr txBox="1"/>
          </xdr:nvSpPr>
          <xdr:spPr>
            <a:xfrm>
              <a:off x="350520" y="601980"/>
              <a:ext cx="1882140" cy="7086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3600">
                  <a:solidFill>
                    <a:schemeClr val="tx1"/>
                  </a:solidFill>
                  <a:latin typeface="Arial Rounded MT Bold" panose="020F0704030504030204" pitchFamily="34" charset="0"/>
                  <a:ea typeface="ADLaM Display" panose="02010000000000000000" pitchFamily="2" charset="0"/>
                  <a:cs typeface="ADLaM Display" panose="02010000000000000000" pitchFamily="2" charset="0"/>
                </a:rPr>
                <a:t>Cereal</a:t>
              </a:r>
              <a:r>
                <a:rPr lang="en-US" sz="4000">
                  <a:solidFill>
                    <a:srgbClr val="F72585"/>
                  </a:solidFill>
                  <a:latin typeface="Arial Rounded MT Bold" panose="020F0704030504030204" pitchFamily="34" charset="0"/>
                  <a:ea typeface="ADLaM Display" panose="02010000000000000000" pitchFamily="2" charset="0"/>
                  <a:cs typeface="ADLaM Display" panose="02010000000000000000" pitchFamily="2" charset="0"/>
                </a:rPr>
                <a:t> </a:t>
              </a:r>
              <a:endParaRPr lang="en-US" sz="3200" b="0">
                <a:solidFill>
                  <a:srgbClr val="F72585"/>
                </a:solidFill>
                <a:latin typeface="Arial Rounded MT Bold" panose="020F0704030504030204" pitchFamily="34" charset="0"/>
                <a:ea typeface="ADLaM Display" panose="02010000000000000000" pitchFamily="2" charset="0"/>
                <a:cs typeface="ADLaM Display" panose="02010000000000000000" pitchFamily="2" charset="0"/>
              </a:endParaRPr>
            </a:p>
          </xdr:txBody>
        </xdr:sp>
        <xdr:sp macro="" textlink="">
          <xdr:nvSpPr>
            <xdr:cNvPr id="46" name="TextBox 45">
              <a:extLst>
                <a:ext uri="{FF2B5EF4-FFF2-40B4-BE49-F238E27FC236}">
                  <a16:creationId xmlns:a16="http://schemas.microsoft.com/office/drawing/2014/main" id="{232D5138-63AC-89F5-8B64-4D4A5013BEB1}"/>
                </a:ext>
              </a:extLst>
            </xdr:cNvPr>
            <xdr:cNvSpPr txBox="1"/>
          </xdr:nvSpPr>
          <xdr:spPr>
            <a:xfrm>
              <a:off x="289560" y="1051560"/>
              <a:ext cx="2446020" cy="5410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2800" b="0">
                  <a:solidFill>
                    <a:srgbClr val="03045E"/>
                  </a:solidFill>
                  <a:latin typeface="Arial Rounded MT Bold" panose="020F0704030504030204" pitchFamily="34" charset="0"/>
                  <a:ea typeface="ADLaM Display" panose="02010000000000000000" pitchFamily="2" charset="0"/>
                  <a:cs typeface="ADLaM Display" panose="02010000000000000000" pitchFamily="2" charset="0"/>
                </a:rPr>
                <a:t>Nutrient</a:t>
              </a:r>
              <a:r>
                <a:rPr lang="en-US" sz="2000" b="1">
                  <a:solidFill>
                    <a:srgbClr val="03045E"/>
                  </a:solidFill>
                  <a:latin typeface="Arial Rounded MT Bold" panose="020F0704030504030204" pitchFamily="34" charset="0"/>
                  <a:ea typeface="ADLaM Display" panose="02010000000000000000" pitchFamily="2" charset="0"/>
                  <a:cs typeface="ADLaM Display" panose="02010000000000000000" pitchFamily="2" charset="0"/>
                </a:rPr>
                <a:t>Value</a:t>
              </a:r>
              <a:r>
                <a:rPr lang="en-US" sz="1800" b="0">
                  <a:solidFill>
                    <a:srgbClr val="03045E"/>
                  </a:solidFill>
                  <a:latin typeface="Arial Rounded MT Bold" panose="020F0704030504030204" pitchFamily="34" charset="0"/>
                  <a:ea typeface="ADLaM Display" panose="02010000000000000000" pitchFamily="2" charset="0"/>
                  <a:cs typeface="ADLaM Display" panose="02010000000000000000" pitchFamily="2" charset="0"/>
                </a:rPr>
                <a:t> </a:t>
              </a:r>
              <a:endParaRPr lang="en-US" sz="2400" b="0">
                <a:solidFill>
                  <a:srgbClr val="03045E"/>
                </a:solidFill>
                <a:latin typeface="Arial Rounded MT Bold" panose="020F0704030504030204" pitchFamily="34" charset="0"/>
                <a:ea typeface="ADLaM Display" panose="02010000000000000000" pitchFamily="2" charset="0"/>
                <a:cs typeface="ADLaM Display" panose="02010000000000000000" pitchFamily="2" charset="0"/>
              </a:endParaRPr>
            </a:p>
          </xdr:txBody>
        </xdr:sp>
        <xdr:sp macro="" textlink="">
          <xdr:nvSpPr>
            <xdr:cNvPr id="47" name="Rectangle 46">
              <a:extLst>
                <a:ext uri="{FF2B5EF4-FFF2-40B4-BE49-F238E27FC236}">
                  <a16:creationId xmlns:a16="http://schemas.microsoft.com/office/drawing/2014/main" id="{0171CFC1-1D52-6DBB-D4FE-213621CCD77C}"/>
                </a:ext>
              </a:extLst>
            </xdr:cNvPr>
            <xdr:cNvSpPr/>
          </xdr:nvSpPr>
          <xdr:spPr>
            <a:xfrm>
              <a:off x="320040" y="601980"/>
              <a:ext cx="45720" cy="914400"/>
            </a:xfrm>
            <a:prstGeom prst="rect">
              <a:avLst/>
            </a:prstGeom>
            <a:solidFill>
              <a:srgbClr val="F725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1</xdr:col>
      <xdr:colOff>0</xdr:colOff>
      <xdr:row>0</xdr:row>
      <xdr:rowOff>167640</xdr:rowOff>
    </xdr:from>
    <xdr:to>
      <xdr:col>5</xdr:col>
      <xdr:colOff>0</xdr:colOff>
      <xdr:row>35</xdr:row>
      <xdr:rowOff>3810</xdr:rowOff>
    </xdr:to>
    <xdr:grpSp>
      <xdr:nvGrpSpPr>
        <xdr:cNvPr id="52" name="Group 51" hidden="1">
          <a:extLst>
            <a:ext uri="{FF2B5EF4-FFF2-40B4-BE49-F238E27FC236}">
              <a16:creationId xmlns:a16="http://schemas.microsoft.com/office/drawing/2014/main" id="{D83D8066-E97E-A14C-C440-9B2FBA2CA39B}"/>
            </a:ext>
          </a:extLst>
        </xdr:cNvPr>
        <xdr:cNvGrpSpPr/>
      </xdr:nvGrpSpPr>
      <xdr:grpSpPr>
        <a:xfrm>
          <a:off x="190500" y="167640"/>
          <a:ext cx="2438400" cy="6236970"/>
          <a:chOff x="190500" y="167640"/>
          <a:chExt cx="2438400" cy="6236970"/>
        </a:xfrm>
      </xdr:grpSpPr>
      <xdr:grpSp>
        <xdr:nvGrpSpPr>
          <xdr:cNvPr id="49" name="Group 48" hidden="1">
            <a:extLst>
              <a:ext uri="{FF2B5EF4-FFF2-40B4-BE49-F238E27FC236}">
                <a16:creationId xmlns:a16="http://schemas.microsoft.com/office/drawing/2014/main" id="{593D9641-BD41-FE27-C9F8-B19F7947FB71}"/>
              </a:ext>
            </a:extLst>
          </xdr:cNvPr>
          <xdr:cNvGrpSpPr/>
        </xdr:nvGrpSpPr>
        <xdr:grpSpPr>
          <a:xfrm>
            <a:off x="190500" y="167640"/>
            <a:ext cx="2438400" cy="6233160"/>
            <a:chOff x="15019020" y="3870960"/>
            <a:chExt cx="2438400" cy="6233160"/>
          </a:xfrm>
        </xdr:grpSpPr>
        <xdr:sp macro="" textlink="">
          <xdr:nvSpPr>
            <xdr:cNvPr id="23" name="Rectangle: Rounded Corners 22" hidden="1">
              <a:extLst>
                <a:ext uri="{FF2B5EF4-FFF2-40B4-BE49-F238E27FC236}">
                  <a16:creationId xmlns:a16="http://schemas.microsoft.com/office/drawing/2014/main" id="{2050D185-DE83-46E1-81AF-B3C0ACB70F2F}"/>
                </a:ext>
              </a:extLst>
            </xdr:cNvPr>
            <xdr:cNvSpPr/>
          </xdr:nvSpPr>
          <xdr:spPr>
            <a:xfrm>
              <a:off x="15019020" y="3886200"/>
              <a:ext cx="2438400" cy="6217920"/>
            </a:xfrm>
            <a:prstGeom prst="roundRect">
              <a:avLst>
                <a:gd name="adj" fmla="val 13229"/>
              </a:avLst>
            </a:prstGeom>
            <a:solidFill>
              <a:srgbClr val="0304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8" name="Group 47" hidden="1">
              <a:extLst>
                <a:ext uri="{FF2B5EF4-FFF2-40B4-BE49-F238E27FC236}">
                  <a16:creationId xmlns:a16="http://schemas.microsoft.com/office/drawing/2014/main" id="{074F9727-4543-EF8A-B5A5-E9B2AF4660D6}"/>
                </a:ext>
              </a:extLst>
            </xdr:cNvPr>
            <xdr:cNvGrpSpPr/>
          </xdr:nvGrpSpPr>
          <xdr:grpSpPr>
            <a:xfrm>
              <a:off x="15133320" y="3870960"/>
              <a:ext cx="2164080" cy="914400"/>
              <a:chOff x="17156430" y="2941320"/>
              <a:chExt cx="2164080" cy="914400"/>
            </a:xfrm>
          </xdr:grpSpPr>
          <xdr:pic>
            <xdr:nvPicPr>
              <xdr:cNvPr id="24" name="Graphic 23" descr="Filter outline" hidden="1">
                <a:extLst>
                  <a:ext uri="{FF2B5EF4-FFF2-40B4-BE49-F238E27FC236}">
                    <a16:creationId xmlns:a16="http://schemas.microsoft.com/office/drawing/2014/main" id="{7AAEA43C-5FA7-41CE-A0B7-F54A5730C3A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7156430" y="2941320"/>
                <a:ext cx="914400" cy="914400"/>
              </a:xfrm>
              <a:prstGeom prst="rect">
                <a:avLst/>
              </a:prstGeom>
            </xdr:spPr>
          </xdr:pic>
          <xdr:sp macro="" textlink="">
            <xdr:nvSpPr>
              <xdr:cNvPr id="25" name="TextBox 24" hidden="1">
                <a:extLst>
                  <a:ext uri="{FF2B5EF4-FFF2-40B4-BE49-F238E27FC236}">
                    <a16:creationId xmlns:a16="http://schemas.microsoft.com/office/drawing/2014/main" id="{AC60FCA0-39C3-4502-968D-0790FE2A06D0}"/>
                  </a:ext>
                </a:extLst>
              </xdr:cNvPr>
              <xdr:cNvSpPr txBox="1"/>
            </xdr:nvSpPr>
            <xdr:spPr>
              <a:xfrm>
                <a:off x="17583150" y="3200400"/>
                <a:ext cx="1737360" cy="5410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4000" b="0">
                    <a:solidFill>
                      <a:schemeClr val="bg1"/>
                    </a:solidFill>
                    <a:latin typeface="ADLaM Display" panose="02010000000000000000" pitchFamily="2" charset="0"/>
                    <a:ea typeface="ADLaM Display" panose="02010000000000000000" pitchFamily="2" charset="0"/>
                    <a:cs typeface="ADLaM Display" panose="02010000000000000000" pitchFamily="2" charset="0"/>
                  </a:rPr>
                  <a:t>Filters</a:t>
                </a:r>
                <a:endParaRPr lang="en-US" sz="3200" b="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grpSp>
      </xdr:grpSp>
      <xdr:grpSp>
        <xdr:nvGrpSpPr>
          <xdr:cNvPr id="50" name="Group 49" hidden="1">
            <a:extLst>
              <a:ext uri="{FF2B5EF4-FFF2-40B4-BE49-F238E27FC236}">
                <a16:creationId xmlns:a16="http://schemas.microsoft.com/office/drawing/2014/main" id="{B76E426F-5003-1842-95D2-857CEB3A51E5}"/>
              </a:ext>
            </a:extLst>
          </xdr:cNvPr>
          <xdr:cNvGrpSpPr/>
        </xdr:nvGrpSpPr>
        <xdr:grpSpPr>
          <a:xfrm>
            <a:off x="205740" y="967741"/>
            <a:ext cx="2377440" cy="4655820"/>
            <a:chOff x="19842480" y="2613661"/>
            <a:chExt cx="2377440" cy="4655820"/>
          </a:xfrm>
        </xdr:grpSpPr>
        <mc:AlternateContent xmlns:mc="http://schemas.openxmlformats.org/markup-compatibility/2006" xmlns:a14="http://schemas.microsoft.com/office/drawing/2010/main">
          <mc:Choice Requires="a14">
            <xdr:graphicFrame macro="">
              <xdr:nvGraphicFramePr>
                <xdr:cNvPr id="29" name="Type 2" hidden="1">
                  <a:extLst>
                    <a:ext uri="{FF2B5EF4-FFF2-40B4-BE49-F238E27FC236}">
                      <a16:creationId xmlns:a16="http://schemas.microsoft.com/office/drawing/2014/main" id="{76E0F3DC-0921-4ECE-96D5-97D7BF3A4BAE}"/>
                    </a:ext>
                  </a:extLst>
                </xdr:cNvPr>
                <xdr:cNvGraphicFramePr/>
              </xdr:nvGraphicFramePr>
              <xdr:xfrm>
                <a:off x="19842480" y="6172201"/>
                <a:ext cx="2377440" cy="109728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205740" y="4526281"/>
                  <a:ext cx="2377440" cy="1097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0" name="Manufacturer Of Cereal 2" hidden="1">
                  <a:extLst>
                    <a:ext uri="{FF2B5EF4-FFF2-40B4-BE49-F238E27FC236}">
                      <a16:creationId xmlns:a16="http://schemas.microsoft.com/office/drawing/2014/main" id="{BA45A5C8-D2E0-4068-B5C9-0660E12F67FE}"/>
                    </a:ext>
                  </a:extLst>
                </xdr:cNvPr>
                <xdr:cNvGraphicFramePr/>
              </xdr:nvGraphicFramePr>
              <xdr:xfrm>
                <a:off x="19842480" y="2613661"/>
                <a:ext cx="2377440" cy="2438400"/>
              </xdr:xfrm>
              <a:graphic>
                <a:graphicData uri="http://schemas.microsoft.com/office/drawing/2010/slicer">
                  <sle:slicer xmlns:sle="http://schemas.microsoft.com/office/drawing/2010/slicer" name="Manufacturer Of Cereal 2"/>
                </a:graphicData>
              </a:graphic>
            </xdr:graphicFrame>
          </mc:Choice>
          <mc:Fallback xmlns="">
            <xdr:sp macro="" textlink="">
              <xdr:nvSpPr>
                <xdr:cNvPr id="0" name=""/>
                <xdr:cNvSpPr>
                  <a:spLocks noTextEdit="1"/>
                </xdr:cNvSpPr>
              </xdr:nvSpPr>
              <xdr:spPr>
                <a:xfrm>
                  <a:off x="205740" y="967741"/>
                  <a:ext cx="237744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Nutrient Density Category 3" hidden="1">
                  <a:extLst>
                    <a:ext uri="{FF2B5EF4-FFF2-40B4-BE49-F238E27FC236}">
                      <a16:creationId xmlns:a16="http://schemas.microsoft.com/office/drawing/2014/main" id="{CC2DAEDE-1066-4B1E-9961-7F82FD04C337}"/>
                    </a:ext>
                  </a:extLst>
                </xdr:cNvPr>
                <xdr:cNvGraphicFramePr/>
              </xdr:nvGraphicFramePr>
              <xdr:xfrm>
                <a:off x="19842480" y="4945381"/>
                <a:ext cx="2377440" cy="1303020"/>
              </xdr:xfrm>
              <a:graphic>
                <a:graphicData uri="http://schemas.microsoft.com/office/drawing/2010/slicer">
                  <sle:slicer xmlns:sle="http://schemas.microsoft.com/office/drawing/2010/slicer" name="Nutrient Density Category 3"/>
                </a:graphicData>
              </a:graphic>
            </xdr:graphicFrame>
          </mc:Choice>
          <mc:Fallback xmlns="">
            <xdr:sp macro="" textlink="">
              <xdr:nvSpPr>
                <xdr:cNvPr id="0" name=""/>
                <xdr:cNvSpPr>
                  <a:spLocks noTextEdit="1"/>
                </xdr:cNvSpPr>
              </xdr:nvSpPr>
              <xdr:spPr>
                <a:xfrm>
                  <a:off x="205740" y="3299461"/>
                  <a:ext cx="2377440" cy="1303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macro="[0]!Detaild_hide">
        <xdr:nvPicPr>
          <xdr:cNvPr id="51" name="Graphic 50" descr="Home1 with solid fill" hidden="1">
            <a:extLst>
              <a:ext uri="{FF2B5EF4-FFF2-40B4-BE49-F238E27FC236}">
                <a16:creationId xmlns:a16="http://schemas.microsoft.com/office/drawing/2014/main" id="{D8F1333D-73CE-45B4-933D-0E65109813D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882015" y="5349240"/>
            <a:ext cx="1055370" cy="1055370"/>
          </a:xfrm>
          <a:prstGeom prst="rect">
            <a:avLst/>
          </a:prstGeom>
        </xdr:spPr>
      </xdr:pic>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77.676571180556" backgroundQuery="1" createdVersion="8" refreshedVersion="8" minRefreshableVersion="3" recordCount="0" supportSubquery="1" supportAdvancedDrill="1" xr:uid="{F76D81CC-6151-4356-95A9-F8FC3992499D}">
  <cacheSource type="external" connectionId="5"/>
  <cacheFields count="6">
    <cacheField name="[Nutrient Density].[Cereal Name].[Cereal Name]" caption="Cereal Name" numFmtId="0" hierarchy="15" level="1">
      <sharedItems count="27">
        <s v="Clusters"/>
        <s v="Cream of Wheat (Quick)"/>
        <s v="Fruit &amp; Fibre Dates; Walnuts; and Oats"/>
        <s v="Fruitful Bran"/>
        <s v="Puffed Rice"/>
        <s v="Puffed Wheat"/>
        <s v="Quaker Oatmeal"/>
        <s v="Shredded Wheat"/>
        <s v="Shredded Wheat 'n'Bran"/>
        <s v="Shredded Wheat spoon size"/>
        <s v="100% Bran"/>
        <s v="All-Bran"/>
        <s v="Bran Flakes"/>
        <s v="Frosted Mini-Wheats"/>
        <s v="Grape-Nuts"/>
        <s v="Maypo"/>
        <s v="Nutri-grain Wheat"/>
        <s v="Raisin Squares"/>
        <s v="Special K"/>
        <s v="Strawberry Fruit Wheats"/>
        <s v="All-Bran with Extra Fiber"/>
        <s v="Just Right Crunchy  Nuggets"/>
        <s v="Just Right Fruit &amp; Nut"/>
        <s v="Product 19"/>
        <s v="Total Corn Flakes"/>
        <s v="Total Raisin Bran"/>
        <s v="Total Whole Grain"/>
      </sharedItems>
    </cacheField>
    <cacheField name="[Nutrient Density].[Nutrient Density Category].[Nutrient Density Category]" caption="Nutrient Density Category" numFmtId="0" hierarchy="27" level="1">
      <sharedItems count="3">
        <s v="Low Nutrient Density"/>
        <s v="Moderate Nutrient Density"/>
        <s v="High Nutrient Density"/>
      </sharedItems>
    </cacheField>
    <cacheField name="[Measures].[Sum of Rating]" caption="Sum of Rating" numFmtId="0" hierarchy="33" level="32767"/>
    <cacheField name="[80 CEREALS].[Manufacturer Of Cereal].[Manufacturer Of Cereal]" caption="Manufacturer Of Cereal" numFmtId="0" level="1">
      <sharedItems count="7">
        <s v="General Mills"/>
        <s v="Kelloggs"/>
        <s v="Nabisco"/>
        <s v="Post"/>
        <s v="Quaker Oats"/>
        <s v="Ralston Purina"/>
        <s v="American Home Food Products"/>
      </sharedItems>
    </cacheField>
    <cacheField name="[Measures].[Full Rate]" caption="Full Rate" numFmtId="0" hierarchy="47" level="32767"/>
    <cacheField name="[80 CEREALS].[Type].[Type]" caption="Type" numFmtId="0" hierarchy="2" level="1">
      <sharedItems containsSemiMixedTypes="0" containsNonDate="0" containsString="0"/>
    </cacheField>
  </cacheFields>
  <cacheHierarchies count="51">
    <cacheHierarchy uniqueName="[80 CEREALS].[Manufacturer Of Cereal]" caption="Manufacturer Of Cereal" attribute="1" defaultMemberUniqueName="[80 CEREALS].[Manufacturer Of Cereal].[All]" allUniqueName="[80 CEREALS].[Manufacturer Of Cereal].[All]" dimensionUniqueName="[80 CEREALS]" displayFolder="" count="2" memberValueDatatype="130" unbalanced="0">
      <fieldsUsage count="2">
        <fieldUsage x="-1"/>
        <fieldUsage x="3"/>
      </fieldsUsage>
    </cacheHierarchy>
    <cacheHierarchy uniqueName="[80 CEREALS].[Cereal Name]" caption="Cereal Name" attribute="1" defaultMemberUniqueName="[80 CEREALS].[Cereal Name].[All]" allUniqueName="[80 CEREALS].[Cereal Name].[All]" dimensionUniqueName="[80 CEREALS]" displayFolder="" count="0" memberValueDatatype="130" unbalanced="0"/>
    <cacheHierarchy uniqueName="[80 CEREALS].[Type]" caption="Type" attribute="1" defaultMemberUniqueName="[80 CEREALS].[Type].[All]" allUniqueName="[80 CEREALS].[Type].[All]" dimensionUniqueName="[80 CEREALS]" displayFolder="" count="2" memberValueDatatype="130" unbalanced="0">
      <fieldsUsage count="2">
        <fieldUsage x="-1"/>
        <fieldUsage x="5"/>
      </fieldsUsage>
    </cacheHierarchy>
    <cacheHierarchy uniqueName="[80 CEREALS].[Rating]" caption="Rating" attribute="1" defaultMemberUniqueName="[80 CEREALS].[Rating].[All]" allUniqueName="[80 CEREALS].[Rating].[All]" dimensionUniqueName="[80 CEREALS]" displayFolder="" count="0" memberValueDatatype="20" unbalanced="0"/>
    <cacheHierarchy uniqueName="[80 CEREALS].[Shelf]" caption="Shelf" attribute="1" defaultMemberUniqueName="[80 CEREALS].[Shelf].[All]" allUniqueName="[80 CEREALS].[Shelf].[All]" dimensionUniqueName="[80 CEREALS]" displayFolder="" count="0" memberValueDatatype="20" unbalanced="0"/>
    <cacheHierarchy uniqueName="[80 CEREALS].[Weight Of One Serving]" caption="Weight Of One Serving" attribute="1" defaultMemberUniqueName="[80 CEREALS].[Weight Of One Serving].[All]" allUniqueName="[80 CEREALS].[Weight Of One Serving].[All]" dimensionUniqueName="[80 CEREALS]" displayFolder="" count="0" memberValueDatatype="20" unbalanced="0"/>
    <cacheHierarchy uniqueName="[80 CEREALS].[Calories]" caption="Calories" attribute="1" defaultMemberUniqueName="[80 CEREALS].[Calories].[All]" allUniqueName="[80 CEREALS].[Calories].[All]" dimensionUniqueName="[80 CEREALS]" displayFolder="" count="0" memberValueDatatype="20" unbalanced="0"/>
    <cacheHierarchy uniqueName="[80 CEREALS].[Protein]" caption="Protein" attribute="1" defaultMemberUniqueName="[80 CEREALS].[Protein].[All]" allUniqueName="[80 CEREALS].[Protein].[All]" dimensionUniqueName="[80 CEREALS]" displayFolder="" count="0" memberValueDatatype="20" unbalanced="0"/>
    <cacheHierarchy uniqueName="[80 CEREALS].[Fibers]" caption="Fibers" attribute="1" defaultMemberUniqueName="[80 CEREALS].[Fibers].[All]" allUniqueName="[80 CEREALS].[Fibers].[All]" dimensionUniqueName="[80 CEREALS]" displayFolder="" count="0" memberValueDatatype="5" unbalanced="0"/>
    <cacheHierarchy uniqueName="[80 CEREALS].[Vitamins]" caption="Vitamins" attribute="1" defaultMemberUniqueName="[80 CEREALS].[Vitamins].[All]" allUniqueName="[80 CEREALS].[Vitamins].[All]" dimensionUniqueName="[80 CEREALS]" displayFolder="" count="0" memberValueDatatype="20" unbalanced="0"/>
    <cacheHierarchy uniqueName="[80 CEREALS].[Potassium]" caption="Potassium" attribute="1" defaultMemberUniqueName="[80 CEREALS].[Potassium].[All]" allUniqueName="[80 CEREALS].[Potassium].[All]" dimensionUniqueName="[80 CEREALS]" displayFolder="" count="0" memberValueDatatype="5" unbalanced="0"/>
    <cacheHierarchy uniqueName="[80 CEREALS].[Complex Carbohydrate]" caption="Complex Carbohydrate" attribute="1" defaultMemberUniqueName="[80 CEREALS].[Complex Carbohydrate].[All]" allUniqueName="[80 CEREALS].[Complex Carbohydrate].[All]" dimensionUniqueName="[80 CEREALS]" displayFolder="" count="0" memberValueDatatype="5" unbalanced="0"/>
    <cacheHierarchy uniqueName="[80 CEREALS].[Fats]" caption="Fats" attribute="1" defaultMemberUniqueName="[80 CEREALS].[Fats].[All]" allUniqueName="[80 CEREALS].[Fats].[All]" dimensionUniqueName="[80 CEREALS]" displayFolder="" count="0" memberValueDatatype="20" unbalanced="0"/>
    <cacheHierarchy uniqueName="[80 CEREALS].[Sugars]" caption="Sugars" attribute="1" defaultMemberUniqueName="[80 CEREALS].[Sugars].[All]" allUniqueName="[80 CEREALS].[Sugars].[All]" dimensionUniqueName="[80 CEREALS]" displayFolder="" count="0" memberValueDatatype="20" unbalanced="0"/>
    <cacheHierarchy uniqueName="[80 CEREALS].[Sodium]" caption="Sodium" attribute="1" defaultMemberUniqueName="[80 CEREALS].[Sodium].[All]" allUniqueName="[80 CEREALS].[Sodium].[All]" dimensionUniqueName="[80 CEREALS]" displayFolder="" count="0" memberValueDatatype="5" unbalanced="0"/>
    <cacheHierarchy uniqueName="[Nutrient Density].[Cereal Name]" caption="Cereal Name" attribute="1" defaultMemberUniqueName="[Nutrient Density].[Cereal Name].[All]" allUniqueName="[Nutrient Density].[Cereal Name].[All]" dimensionUniqueName="[Nutrient Density]" displayFolder="" count="2" memberValueDatatype="130" unbalanced="0">
      <fieldsUsage count="2">
        <fieldUsage x="-1"/>
        <fieldUsage x="0"/>
      </fieldsUsage>
    </cacheHierarchy>
    <cacheHierarchy uniqueName="[Nutrient Density].[Weight Of One Serving]" caption="Weight Of One Serving" attribute="1" defaultMemberUniqueName="[Nutrient Density].[Weight Of One Serving].[All]" allUniqueName="[Nutrient Density].[Weight Of One Serving].[All]" dimensionUniqueName="[Nutrient Density]" displayFolder="" count="0" memberValueDatatype="20" unbalanced="0"/>
    <cacheHierarchy uniqueName="[Nutrient Density].[Calories]" caption="Calories" attribute="1" defaultMemberUniqueName="[Nutrient Density].[Calories].[All]" allUniqueName="[Nutrient Density].[Calories].[All]" dimensionUniqueName="[Nutrient Density]" displayFolder="" count="0" memberValueDatatype="20" unbalanced="0"/>
    <cacheHierarchy uniqueName="[Nutrient Density].[Vitamins]" caption="Vitamins" attribute="1" defaultMemberUniqueName="[Nutrient Density].[Vitamins].[All]" allUniqueName="[Nutrient Density].[Vitamins].[All]" dimensionUniqueName="[Nutrient Density]" displayFolder="" count="0" memberValueDatatype="20" unbalanced="0"/>
    <cacheHierarchy uniqueName="[Nutrient Density].[Protein Density]" caption="Protein Density" attribute="1" defaultMemberUniqueName="[Nutrient Density].[Protein Density].[All]" allUniqueName="[Nutrient Density].[Protein Density].[All]" dimensionUniqueName="[Nutrient Density]" displayFolder="" count="0" memberValueDatatype="5" unbalanced="0"/>
    <cacheHierarchy uniqueName="[Nutrient Density].[Fiber Density]" caption="Fiber Density" attribute="1" defaultMemberUniqueName="[Nutrient Density].[Fiber Density].[All]" allUniqueName="[Nutrient Density].[Fiber Density].[All]" dimensionUniqueName="[Nutrient Density]" displayFolder="" count="0" memberValueDatatype="5" unbalanced="0"/>
    <cacheHierarchy uniqueName="[Nutrient Density].[Sugar Density]" caption="Sugar Density" attribute="1" defaultMemberUniqueName="[Nutrient Density].[Sugar Density].[All]" allUniqueName="[Nutrient Density].[Sugar Density].[All]" dimensionUniqueName="[Nutrient Density]" displayFolder="" count="0" memberValueDatatype="5" unbalanced="0"/>
    <cacheHierarchy uniqueName="[Nutrient Density].[Potassium Density]" caption="Potassium Density" attribute="1" defaultMemberUniqueName="[Nutrient Density].[Potassium Density].[All]" allUniqueName="[Nutrient Density].[Potassium Density].[All]" dimensionUniqueName="[Nutrient Density]" displayFolder="" count="0" memberValueDatatype="5" unbalanced="0"/>
    <cacheHierarchy uniqueName="[Nutrient Density].[Complex Carbohydrate Density]" caption="Complex Carbohydrate Density" attribute="1" defaultMemberUniqueName="[Nutrient Density].[Complex Carbohydrate Density].[All]" allUniqueName="[Nutrient Density].[Complex Carbohydrate Density].[All]" dimensionUniqueName="[Nutrient Density]" displayFolder="" count="0" memberValueDatatype="5" unbalanced="0"/>
    <cacheHierarchy uniqueName="[Nutrient Density].[Fat Density]" caption="Fat Density" attribute="1" defaultMemberUniqueName="[Nutrient Density].[Fat Density].[All]" allUniqueName="[Nutrient Density].[Fat Density].[All]" dimensionUniqueName="[Nutrient Density]" displayFolder="" count="0" memberValueDatatype="5" unbalanced="0"/>
    <cacheHierarchy uniqueName="[Nutrient Density].[Sodium Density]" caption="Sodium Density" attribute="1" defaultMemberUniqueName="[Nutrient Density].[Sodium Density].[All]" allUniqueName="[Nutrient Density].[Sodium Density].[All]" dimensionUniqueName="[Nutrient Density]" displayFolder="" count="0" memberValueDatatype="5" unbalanced="0"/>
    <cacheHierarchy uniqueName="[Nutrient Density].[Nutrient Density Score]" caption="Nutrient Density Score" attribute="1" defaultMemberUniqueName="[Nutrient Density].[Nutrient Density Score].[All]" allUniqueName="[Nutrient Density].[Nutrient Density Score].[All]" dimensionUniqueName="[Nutrient Density]" displayFolder="" count="0" memberValueDatatype="5" unbalanced="0"/>
    <cacheHierarchy uniqueName="[Nutrient Density].[Nutrient Density Category]" caption="Nutrient Density Category" attribute="1" defaultMemberUniqueName="[Nutrient Density].[Nutrient Density Category].[All]" allUniqueName="[Nutrient Density].[Nutrient Density Category].[All]" dimensionUniqueName="[Nutrient Density]" displayFolder="" count="2" memberValueDatatype="130" unbalanced="0">
      <fieldsUsage count="2">
        <fieldUsage x="-1"/>
        <fieldUsage x="1"/>
      </fieldsUsage>
    </cacheHierarchy>
    <cacheHierarchy uniqueName="[Nutrient Density].[score]" caption="score" attribute="1" defaultMemberUniqueName="[Nutrient Density].[score].[All]" allUniqueName="[Nutrient Density].[score].[All]" dimensionUniqueName="[Nutrient Density]" displayFolder="" count="0" memberValueDatatype="20" unbalanced="0"/>
    <cacheHierarchy uniqueName="[Measures].[Count of Cereal Name]" caption="Count of Cereal Name" measure="1" displayFolder="" measureGroup="80 CEREALS" count="0">
      <extLst>
        <ext xmlns:x15="http://schemas.microsoft.com/office/spreadsheetml/2010/11/main" uri="{B97F6D7D-B522-45F9-BDA1-12C45D357490}">
          <x15:cacheHierarchy aggregatedColumn="1"/>
        </ext>
      </extLst>
    </cacheHierarchy>
    <cacheHierarchy uniqueName="[Measures].[Count of Cereal Name 2]" caption="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Calories]" caption="Sum of Calories" measure="1" displayFolder="" measureGroup="80 CEREALS" count="0">
      <extLst>
        <ext xmlns:x15="http://schemas.microsoft.com/office/spreadsheetml/2010/11/main" uri="{B97F6D7D-B522-45F9-BDA1-12C45D357490}">
          <x15:cacheHierarchy aggregatedColumn="6"/>
        </ext>
      </extLst>
    </cacheHierarchy>
    <cacheHierarchy uniqueName="[Measures].[Sum of Potassium]" caption="Sum of Potassium" measure="1" displayFolder="" measureGroup="80 CEREALS" count="0">
      <extLst>
        <ext xmlns:x15="http://schemas.microsoft.com/office/spreadsheetml/2010/11/main" uri="{B97F6D7D-B522-45F9-BDA1-12C45D357490}">
          <x15:cacheHierarchy aggregatedColumn="10"/>
        </ext>
      </extLst>
    </cacheHierarchy>
    <cacheHierarchy uniqueName="[Measures].[Sum of Rating]" caption="Sum of Rating" measure="1" displayFolder="" measureGroup="80 CEREALS" count="0" oneField="1">
      <fieldsUsage count="1">
        <fieldUsage x="2"/>
      </fieldsUsage>
      <extLst>
        <ext xmlns:x15="http://schemas.microsoft.com/office/spreadsheetml/2010/11/main" uri="{B97F6D7D-B522-45F9-BDA1-12C45D357490}">
          <x15:cacheHierarchy aggregatedColumn="3"/>
        </ext>
      </extLst>
    </cacheHierarchy>
    <cacheHierarchy uniqueName="[Measures].[Max of Rating]" caption="Max of Rating" measure="1" displayFolder="" measureGroup="80 CEREALS" count="0">
      <extLst>
        <ext xmlns:x15="http://schemas.microsoft.com/office/spreadsheetml/2010/11/main" uri="{B97F6D7D-B522-45F9-BDA1-12C45D357490}">
          <x15:cacheHierarchy aggregatedColumn="3"/>
        </ext>
      </extLst>
    </cacheHierarchy>
    <cacheHierarchy uniqueName="[Measures].[Count of Manufacturer Of Cereal]" caption="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Manufacturer Of Cereal]" caption="Distinct 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Cereal Name]" caption="Distinct Count of Cereal Name" measure="1" displayFolder="" measureGroup="80 CEREALS" count="0">
      <extLst>
        <ext xmlns:x15="http://schemas.microsoft.com/office/spreadsheetml/2010/11/main" uri="{B97F6D7D-B522-45F9-BDA1-12C45D357490}">
          <x15:cacheHierarchy aggregatedColumn="1"/>
        </ext>
      </extLst>
    </cacheHierarchy>
    <cacheHierarchy uniqueName="[Measures].[Distinct Count of Cereal Name 2]" caption="Distinct 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Weight Of One Serving]" caption="Sum of Weight Of One Serving" measure="1" displayFolder="" measureGroup="80 CEREALS" count="0">
      <extLst>
        <ext xmlns:x15="http://schemas.microsoft.com/office/spreadsheetml/2010/11/main" uri="{B97F6D7D-B522-45F9-BDA1-12C45D357490}">
          <x15:cacheHierarchy aggregatedColumn="5"/>
        </ext>
      </extLst>
    </cacheHierarchy>
    <cacheHierarchy uniqueName="[Measures].[Sum of Protein]" caption="Sum of Protein" measure="1" displayFolder="" measureGroup="80 CEREALS" count="0">
      <extLst>
        <ext xmlns:x15="http://schemas.microsoft.com/office/spreadsheetml/2010/11/main" uri="{B97F6D7D-B522-45F9-BDA1-12C45D357490}">
          <x15:cacheHierarchy aggregatedColumn="7"/>
        </ext>
      </extLst>
    </cacheHierarchy>
    <cacheHierarchy uniqueName="[Measures].[Sum of Vitamins]" caption="Sum of Vitamins" measure="1" displayFolder="" measureGroup="80 CEREALS" count="0">
      <extLst>
        <ext xmlns:x15="http://schemas.microsoft.com/office/spreadsheetml/2010/11/main" uri="{B97F6D7D-B522-45F9-BDA1-12C45D357490}">
          <x15:cacheHierarchy aggregatedColumn="9"/>
        </ext>
      </extLst>
    </cacheHierarchy>
    <cacheHierarchy uniqueName="[Measures].[Sum of Sugars]" caption="Sum of Sugars" measure="1" displayFolder="" measureGroup="80 CEREALS" count="0">
      <extLst>
        <ext xmlns:x15="http://schemas.microsoft.com/office/spreadsheetml/2010/11/main" uri="{B97F6D7D-B522-45F9-BDA1-12C45D357490}">
          <x15:cacheHierarchy aggregatedColumn="13"/>
        </ext>
      </extLst>
    </cacheHierarchy>
    <cacheHierarchy uniqueName="[Measures].[Sum of Sodium]" caption="Sum of Sodium" measure="1" displayFolder="" measureGroup="80 CEREALS" count="0">
      <extLst>
        <ext xmlns:x15="http://schemas.microsoft.com/office/spreadsheetml/2010/11/main" uri="{B97F6D7D-B522-45F9-BDA1-12C45D357490}">
          <x15:cacheHierarchy aggregatedColumn="14"/>
        </ext>
      </extLst>
    </cacheHierarchy>
    <cacheHierarchy uniqueName="[Measures].[Sum of Complex Carbohydrate]" caption="Sum of Complex Carbohydrate" measure="1" displayFolder="" measureGroup="80 CEREALS" count="0">
      <extLst>
        <ext xmlns:x15="http://schemas.microsoft.com/office/spreadsheetml/2010/11/main" uri="{B97F6D7D-B522-45F9-BDA1-12C45D357490}">
          <x15:cacheHierarchy aggregatedColumn="11"/>
        </ext>
      </extLst>
    </cacheHierarchy>
    <cacheHierarchy uniqueName="[Measures].[Sum of Fats]" caption="Sum of Fats" measure="1" displayFolder="" measureGroup="80 CEREALS" count="0">
      <extLst>
        <ext xmlns:x15="http://schemas.microsoft.com/office/spreadsheetml/2010/11/main" uri="{B97F6D7D-B522-45F9-BDA1-12C45D357490}">
          <x15:cacheHierarchy aggregatedColumn="12"/>
        </ext>
      </extLst>
    </cacheHierarchy>
    <cacheHierarchy uniqueName="[Measures].[Sum of Fibers]" caption="Sum of Fibers" measure="1" displayFolder="" measureGroup="80 CEREALS" count="0">
      <extLst>
        <ext xmlns:x15="http://schemas.microsoft.com/office/spreadsheetml/2010/11/main" uri="{B97F6D7D-B522-45F9-BDA1-12C45D357490}">
          <x15:cacheHierarchy aggregatedColumn="8"/>
        </ext>
      </extLst>
    </cacheHierarchy>
    <cacheHierarchy uniqueName="[Measures].[Full Rate]" caption="Full Rate" measure="1" displayFolder="" measureGroup="80 CEREALS" count="0" oneField="1">
      <fieldsUsage count="1">
        <fieldUsage x="4"/>
      </fieldsUsage>
    </cacheHierarchy>
    <cacheHierarchy uniqueName="[Measures].[__XL_Count 80 CEREALS]" caption="__XL_Count 80 CEREALS" measure="1" displayFolder="" measureGroup="80 CEREALS" count="0" hidden="1"/>
    <cacheHierarchy uniqueName="[Measures].[__XL_Count Nutrient Density]" caption="__XL_Count Nutrient Density" measure="1" displayFolder="" measureGroup="Nutrient Density" count="0" hidden="1"/>
    <cacheHierarchy uniqueName="[Measures].[__No measures defined]" caption="__No measures defined" measure="1" displayFolder="" count="0" hidden="1"/>
  </cacheHierarchies>
  <kpis count="0"/>
  <dimensions count="3">
    <dimension name="80 CEREALS" uniqueName="[80 CEREALS]" caption="80 CEREALS"/>
    <dimension measure="1" name="Measures" uniqueName="[Measures]" caption="Measures"/>
    <dimension name="Nutrient Density" uniqueName="[Nutrient Density]" caption="Nutrient Density"/>
  </dimensions>
  <measureGroups count="2">
    <measureGroup name="80 CEREALS" caption="80 CEREALS"/>
    <measureGroup name="Nutrient Density" caption="Nutrient Density"/>
  </measureGroups>
  <maps count="3">
    <map measureGroup="0" dimension="0"/>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77.676572222219" backgroundQuery="1" createdVersion="8" refreshedVersion="8" minRefreshableVersion="3" recordCount="0" supportSubquery="1" supportAdvancedDrill="1" xr:uid="{E6A655AA-8F52-4B33-8E7B-E7BFCB32CC13}">
  <cacheSource type="external" connectionId="5"/>
  <cacheFields count="4">
    <cacheField name="[Measures].[Distinct Count of Manufacturer Of Cereal]" caption="Distinct Count of Manufacturer Of Cereal" numFmtId="0" hierarchy="36" level="32767"/>
    <cacheField name="[Measures].[Distinct Count of Cereal Name]" caption="Distinct Count of Cereal Name" numFmtId="0" hierarchy="37" level="32767"/>
    <cacheField name="[Nutrient Density].[Nutrient Density Category].[Nutrient Density Category]" caption="Nutrient Density Category" numFmtId="0" hierarchy="27" level="1">
      <sharedItems containsSemiMixedTypes="0" containsNonDate="0" containsString="0"/>
    </cacheField>
    <cacheField name="[80 CEREALS].[Manufacturer Of Cereal].[Manufacturer Of Cereal]" caption="Manufacturer Of Cereal" numFmtId="0" level="1">
      <sharedItems containsSemiMixedTypes="0" containsNonDate="0" containsString="0"/>
    </cacheField>
  </cacheFields>
  <cacheHierarchies count="51">
    <cacheHierarchy uniqueName="[80 CEREALS].[Manufacturer Of Cereal]" caption="Manufacturer Of Cereal" attribute="1" defaultMemberUniqueName="[80 CEREALS].[Manufacturer Of Cereal].[All]" allUniqueName="[80 CEREALS].[Manufacturer Of Cereal].[All]" dimensionUniqueName="[80 CEREALS]" displayFolder="" count="2" memberValueDatatype="130" unbalanced="0">
      <fieldsUsage count="2">
        <fieldUsage x="-1"/>
        <fieldUsage x="3"/>
      </fieldsUsage>
    </cacheHierarchy>
    <cacheHierarchy uniqueName="[80 CEREALS].[Cereal Name]" caption="Cereal Name" attribute="1" defaultMemberUniqueName="[80 CEREALS].[Cereal Name].[All]" allUniqueName="[80 CEREALS].[Cereal Name].[All]" dimensionUniqueName="[80 CEREALS]" displayFolder="" count="0" memberValueDatatype="130" unbalanced="0"/>
    <cacheHierarchy uniqueName="[80 CEREALS].[Type]" caption="Type" attribute="1" defaultMemberUniqueName="[80 CEREALS].[Type].[All]" allUniqueName="[80 CEREALS].[Type].[All]" dimensionUniqueName="[80 CEREALS]" displayFolder="" count="0" memberValueDatatype="130" unbalanced="0"/>
    <cacheHierarchy uniqueName="[80 CEREALS].[Rating]" caption="Rating" attribute="1" defaultMemberUniqueName="[80 CEREALS].[Rating].[All]" allUniqueName="[80 CEREALS].[Rating].[All]" dimensionUniqueName="[80 CEREALS]" displayFolder="" count="0" memberValueDatatype="20" unbalanced="0"/>
    <cacheHierarchy uniqueName="[80 CEREALS].[Shelf]" caption="Shelf" attribute="1" defaultMemberUniqueName="[80 CEREALS].[Shelf].[All]" allUniqueName="[80 CEREALS].[Shelf].[All]" dimensionUniqueName="[80 CEREALS]" displayFolder="" count="0" memberValueDatatype="20" unbalanced="0"/>
    <cacheHierarchy uniqueName="[80 CEREALS].[Weight Of One Serving]" caption="Weight Of One Serving" attribute="1" defaultMemberUniqueName="[80 CEREALS].[Weight Of One Serving].[All]" allUniqueName="[80 CEREALS].[Weight Of One Serving].[All]" dimensionUniqueName="[80 CEREALS]" displayFolder="" count="0" memberValueDatatype="20" unbalanced="0"/>
    <cacheHierarchy uniqueName="[80 CEREALS].[Calories]" caption="Calories" attribute="1" defaultMemberUniqueName="[80 CEREALS].[Calories].[All]" allUniqueName="[80 CEREALS].[Calories].[All]" dimensionUniqueName="[80 CEREALS]" displayFolder="" count="0" memberValueDatatype="20" unbalanced="0"/>
    <cacheHierarchy uniqueName="[80 CEREALS].[Protein]" caption="Protein" attribute="1" defaultMemberUniqueName="[80 CEREALS].[Protein].[All]" allUniqueName="[80 CEREALS].[Protein].[All]" dimensionUniqueName="[80 CEREALS]" displayFolder="" count="0" memberValueDatatype="20" unbalanced="0"/>
    <cacheHierarchy uniqueName="[80 CEREALS].[Fibers]" caption="Fibers" attribute="1" defaultMemberUniqueName="[80 CEREALS].[Fibers].[All]" allUniqueName="[80 CEREALS].[Fibers].[All]" dimensionUniqueName="[80 CEREALS]" displayFolder="" count="0" memberValueDatatype="5" unbalanced="0"/>
    <cacheHierarchy uniqueName="[80 CEREALS].[Vitamins]" caption="Vitamins" attribute="1" defaultMemberUniqueName="[80 CEREALS].[Vitamins].[All]" allUniqueName="[80 CEREALS].[Vitamins].[All]" dimensionUniqueName="[80 CEREALS]" displayFolder="" count="0" memberValueDatatype="20" unbalanced="0"/>
    <cacheHierarchy uniqueName="[80 CEREALS].[Potassium]" caption="Potassium" attribute="1" defaultMemberUniqueName="[80 CEREALS].[Potassium].[All]" allUniqueName="[80 CEREALS].[Potassium].[All]" dimensionUniqueName="[80 CEREALS]" displayFolder="" count="0" memberValueDatatype="5" unbalanced="0"/>
    <cacheHierarchy uniqueName="[80 CEREALS].[Complex Carbohydrate]" caption="Complex Carbohydrate" attribute="1" defaultMemberUniqueName="[80 CEREALS].[Complex Carbohydrate].[All]" allUniqueName="[80 CEREALS].[Complex Carbohydrate].[All]" dimensionUniqueName="[80 CEREALS]" displayFolder="" count="0" memberValueDatatype="5" unbalanced="0"/>
    <cacheHierarchy uniqueName="[80 CEREALS].[Fats]" caption="Fats" attribute="1" defaultMemberUniqueName="[80 CEREALS].[Fats].[All]" allUniqueName="[80 CEREALS].[Fats].[All]" dimensionUniqueName="[80 CEREALS]" displayFolder="" count="0" memberValueDatatype="20" unbalanced="0"/>
    <cacheHierarchy uniqueName="[80 CEREALS].[Sugars]" caption="Sugars" attribute="1" defaultMemberUniqueName="[80 CEREALS].[Sugars].[All]" allUniqueName="[80 CEREALS].[Sugars].[All]" dimensionUniqueName="[80 CEREALS]" displayFolder="" count="0" memberValueDatatype="20" unbalanced="0"/>
    <cacheHierarchy uniqueName="[80 CEREALS].[Sodium]" caption="Sodium" attribute="1" defaultMemberUniqueName="[80 CEREALS].[Sodium].[All]" allUniqueName="[80 CEREALS].[Sodium].[All]" dimensionUniqueName="[80 CEREALS]" displayFolder="" count="0" memberValueDatatype="5" unbalanced="0"/>
    <cacheHierarchy uniqueName="[Nutrient Density].[Cereal Name]" caption="Cereal Name" attribute="1" defaultMemberUniqueName="[Nutrient Density].[Cereal Name].[All]" allUniqueName="[Nutrient Density].[Cereal Name].[All]" dimensionUniqueName="[Nutrient Density]" displayFolder="" count="0" memberValueDatatype="130" unbalanced="0"/>
    <cacheHierarchy uniqueName="[Nutrient Density].[Weight Of One Serving]" caption="Weight Of One Serving" attribute="1" defaultMemberUniqueName="[Nutrient Density].[Weight Of One Serving].[All]" allUniqueName="[Nutrient Density].[Weight Of One Serving].[All]" dimensionUniqueName="[Nutrient Density]" displayFolder="" count="0" memberValueDatatype="20" unbalanced="0"/>
    <cacheHierarchy uniqueName="[Nutrient Density].[Calories]" caption="Calories" attribute="1" defaultMemberUniqueName="[Nutrient Density].[Calories].[All]" allUniqueName="[Nutrient Density].[Calories].[All]" dimensionUniqueName="[Nutrient Density]" displayFolder="" count="0" memberValueDatatype="20" unbalanced="0"/>
    <cacheHierarchy uniqueName="[Nutrient Density].[Vitamins]" caption="Vitamins" attribute="1" defaultMemberUniqueName="[Nutrient Density].[Vitamins].[All]" allUniqueName="[Nutrient Density].[Vitamins].[All]" dimensionUniqueName="[Nutrient Density]" displayFolder="" count="0" memberValueDatatype="20" unbalanced="0"/>
    <cacheHierarchy uniqueName="[Nutrient Density].[Protein Density]" caption="Protein Density" attribute="1" defaultMemberUniqueName="[Nutrient Density].[Protein Density].[All]" allUniqueName="[Nutrient Density].[Protein Density].[All]" dimensionUniqueName="[Nutrient Density]" displayFolder="" count="0" memberValueDatatype="5" unbalanced="0"/>
    <cacheHierarchy uniqueName="[Nutrient Density].[Fiber Density]" caption="Fiber Density" attribute="1" defaultMemberUniqueName="[Nutrient Density].[Fiber Density].[All]" allUniqueName="[Nutrient Density].[Fiber Density].[All]" dimensionUniqueName="[Nutrient Density]" displayFolder="" count="0" memberValueDatatype="5" unbalanced="0"/>
    <cacheHierarchy uniqueName="[Nutrient Density].[Sugar Density]" caption="Sugar Density" attribute="1" defaultMemberUniqueName="[Nutrient Density].[Sugar Density].[All]" allUniqueName="[Nutrient Density].[Sugar Density].[All]" dimensionUniqueName="[Nutrient Density]" displayFolder="" count="0" memberValueDatatype="5" unbalanced="0"/>
    <cacheHierarchy uniqueName="[Nutrient Density].[Potassium Density]" caption="Potassium Density" attribute="1" defaultMemberUniqueName="[Nutrient Density].[Potassium Density].[All]" allUniqueName="[Nutrient Density].[Potassium Density].[All]" dimensionUniqueName="[Nutrient Density]" displayFolder="" count="0" memberValueDatatype="5" unbalanced="0"/>
    <cacheHierarchy uniqueName="[Nutrient Density].[Complex Carbohydrate Density]" caption="Complex Carbohydrate Density" attribute="1" defaultMemberUniqueName="[Nutrient Density].[Complex Carbohydrate Density].[All]" allUniqueName="[Nutrient Density].[Complex Carbohydrate Density].[All]" dimensionUniqueName="[Nutrient Density]" displayFolder="" count="0" memberValueDatatype="5" unbalanced="0"/>
    <cacheHierarchy uniqueName="[Nutrient Density].[Fat Density]" caption="Fat Density" attribute="1" defaultMemberUniqueName="[Nutrient Density].[Fat Density].[All]" allUniqueName="[Nutrient Density].[Fat Density].[All]" dimensionUniqueName="[Nutrient Density]" displayFolder="" count="0" memberValueDatatype="5" unbalanced="0"/>
    <cacheHierarchy uniqueName="[Nutrient Density].[Sodium Density]" caption="Sodium Density" attribute="1" defaultMemberUniqueName="[Nutrient Density].[Sodium Density].[All]" allUniqueName="[Nutrient Density].[Sodium Density].[All]" dimensionUniqueName="[Nutrient Density]" displayFolder="" count="0" memberValueDatatype="5" unbalanced="0"/>
    <cacheHierarchy uniqueName="[Nutrient Density].[Nutrient Density Score]" caption="Nutrient Density Score" attribute="1" defaultMemberUniqueName="[Nutrient Density].[Nutrient Density Score].[All]" allUniqueName="[Nutrient Density].[Nutrient Density Score].[All]" dimensionUniqueName="[Nutrient Density]" displayFolder="" count="0" memberValueDatatype="5" unbalanced="0"/>
    <cacheHierarchy uniqueName="[Nutrient Density].[Nutrient Density Category]" caption="Nutrient Density Category" attribute="1" defaultMemberUniqueName="[Nutrient Density].[Nutrient Density Category].[All]" allUniqueName="[Nutrient Density].[Nutrient Density Category].[All]" dimensionUniqueName="[Nutrient Density]" displayFolder="" count="2" memberValueDatatype="130" unbalanced="0">
      <fieldsUsage count="2">
        <fieldUsage x="-1"/>
        <fieldUsage x="2"/>
      </fieldsUsage>
    </cacheHierarchy>
    <cacheHierarchy uniqueName="[Nutrient Density].[score]" caption="score" attribute="1" defaultMemberUniqueName="[Nutrient Density].[score].[All]" allUniqueName="[Nutrient Density].[score].[All]" dimensionUniqueName="[Nutrient Density]" displayFolder="" count="0" memberValueDatatype="20" unbalanced="0"/>
    <cacheHierarchy uniqueName="[Measures].[Count of Cereal Name]" caption="Count of Cereal Name" measure="1" displayFolder="" measureGroup="80 CEREALS" count="0">
      <extLst>
        <ext xmlns:x15="http://schemas.microsoft.com/office/spreadsheetml/2010/11/main" uri="{B97F6D7D-B522-45F9-BDA1-12C45D357490}">
          <x15:cacheHierarchy aggregatedColumn="1"/>
        </ext>
      </extLst>
    </cacheHierarchy>
    <cacheHierarchy uniqueName="[Measures].[Count of Cereal Name 2]" caption="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Calories]" caption="Sum of Calories" measure="1" displayFolder="" measureGroup="80 CEREALS" count="0">
      <extLst>
        <ext xmlns:x15="http://schemas.microsoft.com/office/spreadsheetml/2010/11/main" uri="{B97F6D7D-B522-45F9-BDA1-12C45D357490}">
          <x15:cacheHierarchy aggregatedColumn="6"/>
        </ext>
      </extLst>
    </cacheHierarchy>
    <cacheHierarchy uniqueName="[Measures].[Sum of Potassium]" caption="Sum of Potassium" measure="1" displayFolder="" measureGroup="80 CEREALS" count="0">
      <extLst>
        <ext xmlns:x15="http://schemas.microsoft.com/office/spreadsheetml/2010/11/main" uri="{B97F6D7D-B522-45F9-BDA1-12C45D357490}">
          <x15:cacheHierarchy aggregatedColumn="10"/>
        </ext>
      </extLst>
    </cacheHierarchy>
    <cacheHierarchy uniqueName="[Measures].[Sum of Rating]" caption="Sum of Rating" measure="1" displayFolder="" measureGroup="80 CEREALS" count="0">
      <extLst>
        <ext xmlns:x15="http://schemas.microsoft.com/office/spreadsheetml/2010/11/main" uri="{B97F6D7D-B522-45F9-BDA1-12C45D357490}">
          <x15:cacheHierarchy aggregatedColumn="3"/>
        </ext>
      </extLst>
    </cacheHierarchy>
    <cacheHierarchy uniqueName="[Measures].[Max of Rating]" caption="Max of Rating" measure="1" displayFolder="" measureGroup="80 CEREALS" count="0">
      <extLst>
        <ext xmlns:x15="http://schemas.microsoft.com/office/spreadsheetml/2010/11/main" uri="{B97F6D7D-B522-45F9-BDA1-12C45D357490}">
          <x15:cacheHierarchy aggregatedColumn="3"/>
        </ext>
      </extLst>
    </cacheHierarchy>
    <cacheHierarchy uniqueName="[Measures].[Count of Manufacturer Of Cereal]" caption="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Manufacturer Of Cereal]" caption="Distinct Count of Manufacturer Of Cereal" measure="1" displayFolder="" measureGroup="80 CEREALS" count="0" oneField="1">
      <fieldsUsage count="1">
        <fieldUsage x="0"/>
      </fieldsUsage>
      <extLst>
        <ext xmlns:x15="http://schemas.microsoft.com/office/spreadsheetml/2010/11/main" uri="{B97F6D7D-B522-45F9-BDA1-12C45D357490}">
          <x15:cacheHierarchy aggregatedColumn="0"/>
        </ext>
      </extLst>
    </cacheHierarchy>
    <cacheHierarchy uniqueName="[Measures].[Distinct Count of Cereal Name]" caption="Distinct Count of Cereal Name" measure="1" displayFolder="" measureGroup="80 CEREALS" count="0" oneField="1">
      <fieldsUsage count="1">
        <fieldUsage x="1"/>
      </fieldsUsage>
      <extLst>
        <ext xmlns:x15="http://schemas.microsoft.com/office/spreadsheetml/2010/11/main" uri="{B97F6D7D-B522-45F9-BDA1-12C45D357490}">
          <x15:cacheHierarchy aggregatedColumn="1"/>
        </ext>
      </extLst>
    </cacheHierarchy>
    <cacheHierarchy uniqueName="[Measures].[Distinct Count of Cereal Name 2]" caption="Distinct 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Weight Of One Serving]" caption="Sum of Weight Of One Serving" measure="1" displayFolder="" measureGroup="80 CEREALS" count="0">
      <extLst>
        <ext xmlns:x15="http://schemas.microsoft.com/office/spreadsheetml/2010/11/main" uri="{B97F6D7D-B522-45F9-BDA1-12C45D357490}">
          <x15:cacheHierarchy aggregatedColumn="5"/>
        </ext>
      </extLst>
    </cacheHierarchy>
    <cacheHierarchy uniqueName="[Measures].[Sum of Protein]" caption="Sum of Protein" measure="1" displayFolder="" measureGroup="80 CEREALS" count="0">
      <extLst>
        <ext xmlns:x15="http://schemas.microsoft.com/office/spreadsheetml/2010/11/main" uri="{B97F6D7D-B522-45F9-BDA1-12C45D357490}">
          <x15:cacheHierarchy aggregatedColumn="7"/>
        </ext>
      </extLst>
    </cacheHierarchy>
    <cacheHierarchy uniqueName="[Measures].[Sum of Vitamins]" caption="Sum of Vitamins" measure="1" displayFolder="" measureGroup="80 CEREALS" count="0">
      <extLst>
        <ext xmlns:x15="http://schemas.microsoft.com/office/spreadsheetml/2010/11/main" uri="{B97F6D7D-B522-45F9-BDA1-12C45D357490}">
          <x15:cacheHierarchy aggregatedColumn="9"/>
        </ext>
      </extLst>
    </cacheHierarchy>
    <cacheHierarchy uniqueName="[Measures].[Sum of Sugars]" caption="Sum of Sugars" measure="1" displayFolder="" measureGroup="80 CEREALS" count="0">
      <extLst>
        <ext xmlns:x15="http://schemas.microsoft.com/office/spreadsheetml/2010/11/main" uri="{B97F6D7D-B522-45F9-BDA1-12C45D357490}">
          <x15:cacheHierarchy aggregatedColumn="13"/>
        </ext>
      </extLst>
    </cacheHierarchy>
    <cacheHierarchy uniqueName="[Measures].[Sum of Sodium]" caption="Sum of Sodium" measure="1" displayFolder="" measureGroup="80 CEREALS" count="0">
      <extLst>
        <ext xmlns:x15="http://schemas.microsoft.com/office/spreadsheetml/2010/11/main" uri="{B97F6D7D-B522-45F9-BDA1-12C45D357490}">
          <x15:cacheHierarchy aggregatedColumn="14"/>
        </ext>
      </extLst>
    </cacheHierarchy>
    <cacheHierarchy uniqueName="[Measures].[Sum of Complex Carbohydrate]" caption="Sum of Complex Carbohydrate" measure="1" displayFolder="" measureGroup="80 CEREALS" count="0">
      <extLst>
        <ext xmlns:x15="http://schemas.microsoft.com/office/spreadsheetml/2010/11/main" uri="{B97F6D7D-B522-45F9-BDA1-12C45D357490}">
          <x15:cacheHierarchy aggregatedColumn="11"/>
        </ext>
      </extLst>
    </cacheHierarchy>
    <cacheHierarchy uniqueName="[Measures].[Sum of Fats]" caption="Sum of Fats" measure="1" displayFolder="" measureGroup="80 CEREALS" count="0">
      <extLst>
        <ext xmlns:x15="http://schemas.microsoft.com/office/spreadsheetml/2010/11/main" uri="{B97F6D7D-B522-45F9-BDA1-12C45D357490}">
          <x15:cacheHierarchy aggregatedColumn="12"/>
        </ext>
      </extLst>
    </cacheHierarchy>
    <cacheHierarchy uniqueName="[Measures].[Sum of Fibers]" caption="Sum of Fibers" measure="1" displayFolder="" measureGroup="80 CEREALS" count="0">
      <extLst>
        <ext xmlns:x15="http://schemas.microsoft.com/office/spreadsheetml/2010/11/main" uri="{B97F6D7D-B522-45F9-BDA1-12C45D357490}">
          <x15:cacheHierarchy aggregatedColumn="8"/>
        </ext>
      </extLst>
    </cacheHierarchy>
    <cacheHierarchy uniqueName="[Measures].[Full Rate]" caption="Full Rate" measure="1" displayFolder="" measureGroup="80 CEREALS" count="0"/>
    <cacheHierarchy uniqueName="[Measures].[__XL_Count 80 CEREALS]" caption="__XL_Count 80 CEREALS" measure="1" displayFolder="" measureGroup="80 CEREALS" count="0" hidden="1"/>
    <cacheHierarchy uniqueName="[Measures].[__XL_Count Nutrient Density]" caption="__XL_Count Nutrient Density" measure="1" displayFolder="" measureGroup="Nutrient Density" count="0" hidden="1"/>
    <cacheHierarchy uniqueName="[Measures].[__No measures defined]" caption="__No measures defined" measure="1" displayFolder="" count="0" hidden="1"/>
  </cacheHierarchies>
  <kpis count="0"/>
  <dimensions count="3">
    <dimension name="80 CEREALS" uniqueName="[80 CEREALS]" caption="80 CEREALS"/>
    <dimension measure="1" name="Measures" uniqueName="[Measures]" caption="Measures"/>
    <dimension name="Nutrient Density" uniqueName="[Nutrient Density]" caption="Nutrient Density"/>
  </dimensions>
  <measureGroups count="2">
    <measureGroup name="80 CEREALS" caption="80 CEREALS"/>
    <measureGroup name="Nutrient Density" caption="Nutrient Density"/>
  </measureGroups>
  <maps count="3">
    <map measureGroup="0" dimension="0"/>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77.676573495373" backgroundQuery="1" createdVersion="8" refreshedVersion="8" minRefreshableVersion="3" recordCount="0" supportSubquery="1" supportAdvancedDrill="1" xr:uid="{4FE0B14B-8844-44CD-9BB8-934DF459E0A1}">
  <cacheSource type="external" connectionId="5"/>
  <cacheFields count="4">
    <cacheField name="[80 CEREALS].[Type].[Type]" caption="Type" numFmtId="0" hierarchy="2" level="1">
      <sharedItems count="2">
        <s v="Cold"/>
        <s v="Hot"/>
      </sharedItems>
    </cacheField>
    <cacheField name="[Measures].[Distinct Count of Cereal Name]" caption="Distinct Count of Cereal Name" numFmtId="0" hierarchy="37" level="32767"/>
    <cacheField name="[Nutrient Density].[Nutrient Density Category].[Nutrient Density Category]" caption="Nutrient Density Category" numFmtId="0" hierarchy="27" level="1">
      <sharedItems containsSemiMixedTypes="0" containsNonDate="0" containsString="0"/>
    </cacheField>
    <cacheField name="[80 CEREALS].[Manufacturer Of Cereal].[Manufacturer Of Cereal]" caption="Manufacturer Of Cereal" numFmtId="0" level="1">
      <sharedItems containsSemiMixedTypes="0" containsNonDate="0" containsString="0"/>
    </cacheField>
  </cacheFields>
  <cacheHierarchies count="51">
    <cacheHierarchy uniqueName="[80 CEREALS].[Manufacturer Of Cereal]" caption="Manufacturer Of Cereal" attribute="1" defaultMemberUniqueName="[80 CEREALS].[Manufacturer Of Cereal].[All]" allUniqueName="[80 CEREALS].[Manufacturer Of Cereal].[All]" dimensionUniqueName="[80 CEREALS]" displayFolder="" count="2" memberValueDatatype="130" unbalanced="0">
      <fieldsUsage count="2">
        <fieldUsage x="-1"/>
        <fieldUsage x="3"/>
      </fieldsUsage>
    </cacheHierarchy>
    <cacheHierarchy uniqueName="[80 CEREALS].[Cereal Name]" caption="Cereal Name" attribute="1" defaultMemberUniqueName="[80 CEREALS].[Cereal Name].[All]" allUniqueName="[80 CEREALS].[Cereal Name].[All]" dimensionUniqueName="[80 CEREALS]" displayFolder="" count="0" memberValueDatatype="130" unbalanced="0"/>
    <cacheHierarchy uniqueName="[80 CEREALS].[Type]" caption="Type" attribute="1" defaultMemberUniqueName="[80 CEREALS].[Type].[All]" allUniqueName="[80 CEREALS].[Type].[All]" dimensionUniqueName="[80 CEREALS]" displayFolder="" count="2" memberValueDatatype="130" unbalanced="0">
      <fieldsUsage count="2">
        <fieldUsage x="-1"/>
        <fieldUsage x="0"/>
      </fieldsUsage>
    </cacheHierarchy>
    <cacheHierarchy uniqueName="[80 CEREALS].[Rating]" caption="Rating" attribute="1" defaultMemberUniqueName="[80 CEREALS].[Rating].[All]" allUniqueName="[80 CEREALS].[Rating].[All]" dimensionUniqueName="[80 CEREALS]" displayFolder="" count="0" memberValueDatatype="20" unbalanced="0"/>
    <cacheHierarchy uniqueName="[80 CEREALS].[Shelf]" caption="Shelf" attribute="1" defaultMemberUniqueName="[80 CEREALS].[Shelf].[All]" allUniqueName="[80 CEREALS].[Shelf].[All]" dimensionUniqueName="[80 CEREALS]" displayFolder="" count="0" memberValueDatatype="20" unbalanced="0"/>
    <cacheHierarchy uniqueName="[80 CEREALS].[Weight Of One Serving]" caption="Weight Of One Serving" attribute="1" defaultMemberUniqueName="[80 CEREALS].[Weight Of One Serving].[All]" allUniqueName="[80 CEREALS].[Weight Of One Serving].[All]" dimensionUniqueName="[80 CEREALS]" displayFolder="" count="0" memberValueDatatype="20" unbalanced="0"/>
    <cacheHierarchy uniqueName="[80 CEREALS].[Calories]" caption="Calories" attribute="1" defaultMemberUniqueName="[80 CEREALS].[Calories].[All]" allUniqueName="[80 CEREALS].[Calories].[All]" dimensionUniqueName="[80 CEREALS]" displayFolder="" count="0" memberValueDatatype="20" unbalanced="0"/>
    <cacheHierarchy uniqueName="[80 CEREALS].[Protein]" caption="Protein" attribute="1" defaultMemberUniqueName="[80 CEREALS].[Protein].[All]" allUniqueName="[80 CEREALS].[Protein].[All]" dimensionUniqueName="[80 CEREALS]" displayFolder="" count="0" memberValueDatatype="20" unbalanced="0"/>
    <cacheHierarchy uniqueName="[80 CEREALS].[Fibers]" caption="Fibers" attribute="1" defaultMemberUniqueName="[80 CEREALS].[Fibers].[All]" allUniqueName="[80 CEREALS].[Fibers].[All]" dimensionUniqueName="[80 CEREALS]" displayFolder="" count="0" memberValueDatatype="5" unbalanced="0"/>
    <cacheHierarchy uniqueName="[80 CEREALS].[Vitamins]" caption="Vitamins" attribute="1" defaultMemberUniqueName="[80 CEREALS].[Vitamins].[All]" allUniqueName="[80 CEREALS].[Vitamins].[All]" dimensionUniqueName="[80 CEREALS]" displayFolder="" count="0" memberValueDatatype="20" unbalanced="0"/>
    <cacheHierarchy uniqueName="[80 CEREALS].[Potassium]" caption="Potassium" attribute="1" defaultMemberUniqueName="[80 CEREALS].[Potassium].[All]" allUniqueName="[80 CEREALS].[Potassium].[All]" dimensionUniqueName="[80 CEREALS]" displayFolder="" count="0" memberValueDatatype="5" unbalanced="0"/>
    <cacheHierarchy uniqueName="[80 CEREALS].[Complex Carbohydrate]" caption="Complex Carbohydrate" attribute="1" defaultMemberUniqueName="[80 CEREALS].[Complex Carbohydrate].[All]" allUniqueName="[80 CEREALS].[Complex Carbohydrate].[All]" dimensionUniqueName="[80 CEREALS]" displayFolder="" count="0" memberValueDatatype="5" unbalanced="0"/>
    <cacheHierarchy uniqueName="[80 CEREALS].[Fats]" caption="Fats" attribute="1" defaultMemberUniqueName="[80 CEREALS].[Fats].[All]" allUniqueName="[80 CEREALS].[Fats].[All]" dimensionUniqueName="[80 CEREALS]" displayFolder="" count="0" memberValueDatatype="20" unbalanced="0"/>
    <cacheHierarchy uniqueName="[80 CEREALS].[Sugars]" caption="Sugars" attribute="1" defaultMemberUniqueName="[80 CEREALS].[Sugars].[All]" allUniqueName="[80 CEREALS].[Sugars].[All]" dimensionUniqueName="[80 CEREALS]" displayFolder="" count="0" memberValueDatatype="20" unbalanced="0"/>
    <cacheHierarchy uniqueName="[80 CEREALS].[Sodium]" caption="Sodium" attribute="1" defaultMemberUniqueName="[80 CEREALS].[Sodium].[All]" allUniqueName="[80 CEREALS].[Sodium].[All]" dimensionUniqueName="[80 CEREALS]" displayFolder="" count="0" memberValueDatatype="5" unbalanced="0"/>
    <cacheHierarchy uniqueName="[Nutrient Density].[Cereal Name]" caption="Cereal Name" attribute="1" defaultMemberUniqueName="[Nutrient Density].[Cereal Name].[All]" allUniqueName="[Nutrient Density].[Cereal Name].[All]" dimensionUniqueName="[Nutrient Density]" displayFolder="" count="0" memberValueDatatype="130" unbalanced="0"/>
    <cacheHierarchy uniqueName="[Nutrient Density].[Weight Of One Serving]" caption="Weight Of One Serving" attribute="1" defaultMemberUniqueName="[Nutrient Density].[Weight Of One Serving].[All]" allUniqueName="[Nutrient Density].[Weight Of One Serving].[All]" dimensionUniqueName="[Nutrient Density]" displayFolder="" count="0" memberValueDatatype="20" unbalanced="0"/>
    <cacheHierarchy uniqueName="[Nutrient Density].[Calories]" caption="Calories" attribute="1" defaultMemberUniqueName="[Nutrient Density].[Calories].[All]" allUniqueName="[Nutrient Density].[Calories].[All]" dimensionUniqueName="[Nutrient Density]" displayFolder="" count="0" memberValueDatatype="20" unbalanced="0"/>
    <cacheHierarchy uniqueName="[Nutrient Density].[Vitamins]" caption="Vitamins" attribute="1" defaultMemberUniqueName="[Nutrient Density].[Vitamins].[All]" allUniqueName="[Nutrient Density].[Vitamins].[All]" dimensionUniqueName="[Nutrient Density]" displayFolder="" count="0" memberValueDatatype="20" unbalanced="0"/>
    <cacheHierarchy uniqueName="[Nutrient Density].[Protein Density]" caption="Protein Density" attribute="1" defaultMemberUniqueName="[Nutrient Density].[Protein Density].[All]" allUniqueName="[Nutrient Density].[Protein Density].[All]" dimensionUniqueName="[Nutrient Density]" displayFolder="" count="0" memberValueDatatype="5" unbalanced="0"/>
    <cacheHierarchy uniqueName="[Nutrient Density].[Fiber Density]" caption="Fiber Density" attribute="1" defaultMemberUniqueName="[Nutrient Density].[Fiber Density].[All]" allUniqueName="[Nutrient Density].[Fiber Density].[All]" dimensionUniqueName="[Nutrient Density]" displayFolder="" count="0" memberValueDatatype="5" unbalanced="0"/>
    <cacheHierarchy uniqueName="[Nutrient Density].[Sugar Density]" caption="Sugar Density" attribute="1" defaultMemberUniqueName="[Nutrient Density].[Sugar Density].[All]" allUniqueName="[Nutrient Density].[Sugar Density].[All]" dimensionUniqueName="[Nutrient Density]" displayFolder="" count="0" memberValueDatatype="5" unbalanced="0"/>
    <cacheHierarchy uniqueName="[Nutrient Density].[Potassium Density]" caption="Potassium Density" attribute="1" defaultMemberUniqueName="[Nutrient Density].[Potassium Density].[All]" allUniqueName="[Nutrient Density].[Potassium Density].[All]" dimensionUniqueName="[Nutrient Density]" displayFolder="" count="0" memberValueDatatype="5" unbalanced="0"/>
    <cacheHierarchy uniqueName="[Nutrient Density].[Complex Carbohydrate Density]" caption="Complex Carbohydrate Density" attribute="1" defaultMemberUniqueName="[Nutrient Density].[Complex Carbohydrate Density].[All]" allUniqueName="[Nutrient Density].[Complex Carbohydrate Density].[All]" dimensionUniqueName="[Nutrient Density]" displayFolder="" count="0" memberValueDatatype="5" unbalanced="0"/>
    <cacheHierarchy uniqueName="[Nutrient Density].[Fat Density]" caption="Fat Density" attribute="1" defaultMemberUniqueName="[Nutrient Density].[Fat Density].[All]" allUniqueName="[Nutrient Density].[Fat Density].[All]" dimensionUniqueName="[Nutrient Density]" displayFolder="" count="0" memberValueDatatype="5" unbalanced="0"/>
    <cacheHierarchy uniqueName="[Nutrient Density].[Sodium Density]" caption="Sodium Density" attribute="1" defaultMemberUniqueName="[Nutrient Density].[Sodium Density].[All]" allUniqueName="[Nutrient Density].[Sodium Density].[All]" dimensionUniqueName="[Nutrient Density]" displayFolder="" count="0" memberValueDatatype="5" unbalanced="0"/>
    <cacheHierarchy uniqueName="[Nutrient Density].[Nutrient Density Score]" caption="Nutrient Density Score" attribute="1" defaultMemberUniqueName="[Nutrient Density].[Nutrient Density Score].[All]" allUniqueName="[Nutrient Density].[Nutrient Density Score].[All]" dimensionUniqueName="[Nutrient Density]" displayFolder="" count="0" memberValueDatatype="5" unbalanced="0"/>
    <cacheHierarchy uniqueName="[Nutrient Density].[Nutrient Density Category]" caption="Nutrient Density Category" attribute="1" defaultMemberUniqueName="[Nutrient Density].[Nutrient Density Category].[All]" allUniqueName="[Nutrient Density].[Nutrient Density Category].[All]" dimensionUniqueName="[Nutrient Density]" displayFolder="" count="2" memberValueDatatype="130" unbalanced="0">
      <fieldsUsage count="2">
        <fieldUsage x="-1"/>
        <fieldUsage x="2"/>
      </fieldsUsage>
    </cacheHierarchy>
    <cacheHierarchy uniqueName="[Nutrient Density].[score]" caption="score" attribute="1" defaultMemberUniqueName="[Nutrient Density].[score].[All]" allUniqueName="[Nutrient Density].[score].[All]" dimensionUniqueName="[Nutrient Density]" displayFolder="" count="0" memberValueDatatype="20" unbalanced="0"/>
    <cacheHierarchy uniqueName="[Measures].[Count of Cereal Name]" caption="Count of Cereal Name" measure="1" displayFolder="" measureGroup="80 CEREALS" count="0">
      <extLst>
        <ext xmlns:x15="http://schemas.microsoft.com/office/spreadsheetml/2010/11/main" uri="{B97F6D7D-B522-45F9-BDA1-12C45D357490}">
          <x15:cacheHierarchy aggregatedColumn="1"/>
        </ext>
      </extLst>
    </cacheHierarchy>
    <cacheHierarchy uniqueName="[Measures].[Count of Cereal Name 2]" caption="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Calories]" caption="Sum of Calories" measure="1" displayFolder="" measureGroup="80 CEREALS" count="0">
      <extLst>
        <ext xmlns:x15="http://schemas.microsoft.com/office/spreadsheetml/2010/11/main" uri="{B97F6D7D-B522-45F9-BDA1-12C45D357490}">
          <x15:cacheHierarchy aggregatedColumn="6"/>
        </ext>
      </extLst>
    </cacheHierarchy>
    <cacheHierarchy uniqueName="[Measures].[Sum of Potassium]" caption="Sum of Potassium" measure="1" displayFolder="" measureGroup="80 CEREALS" count="0">
      <extLst>
        <ext xmlns:x15="http://schemas.microsoft.com/office/spreadsheetml/2010/11/main" uri="{B97F6D7D-B522-45F9-BDA1-12C45D357490}">
          <x15:cacheHierarchy aggregatedColumn="10"/>
        </ext>
      </extLst>
    </cacheHierarchy>
    <cacheHierarchy uniqueName="[Measures].[Sum of Rating]" caption="Sum of Rating" measure="1" displayFolder="" measureGroup="80 CEREALS" count="0">
      <extLst>
        <ext xmlns:x15="http://schemas.microsoft.com/office/spreadsheetml/2010/11/main" uri="{B97F6D7D-B522-45F9-BDA1-12C45D357490}">
          <x15:cacheHierarchy aggregatedColumn="3"/>
        </ext>
      </extLst>
    </cacheHierarchy>
    <cacheHierarchy uniqueName="[Measures].[Max of Rating]" caption="Max of Rating" measure="1" displayFolder="" measureGroup="80 CEREALS" count="0">
      <extLst>
        <ext xmlns:x15="http://schemas.microsoft.com/office/spreadsheetml/2010/11/main" uri="{B97F6D7D-B522-45F9-BDA1-12C45D357490}">
          <x15:cacheHierarchy aggregatedColumn="3"/>
        </ext>
      </extLst>
    </cacheHierarchy>
    <cacheHierarchy uniqueName="[Measures].[Count of Manufacturer Of Cereal]" caption="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Manufacturer Of Cereal]" caption="Distinct 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Cereal Name]" caption="Distinct Count of Cereal Name" measure="1" displayFolder="" measureGroup="80 CEREALS" count="0" oneField="1">
      <fieldsUsage count="1">
        <fieldUsage x="1"/>
      </fieldsUsage>
      <extLst>
        <ext xmlns:x15="http://schemas.microsoft.com/office/spreadsheetml/2010/11/main" uri="{B97F6D7D-B522-45F9-BDA1-12C45D357490}">
          <x15:cacheHierarchy aggregatedColumn="1"/>
        </ext>
      </extLst>
    </cacheHierarchy>
    <cacheHierarchy uniqueName="[Measures].[Distinct Count of Cereal Name 2]" caption="Distinct 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Weight Of One Serving]" caption="Sum of Weight Of One Serving" measure="1" displayFolder="" measureGroup="80 CEREALS" count="0">
      <extLst>
        <ext xmlns:x15="http://schemas.microsoft.com/office/spreadsheetml/2010/11/main" uri="{B97F6D7D-B522-45F9-BDA1-12C45D357490}">
          <x15:cacheHierarchy aggregatedColumn="5"/>
        </ext>
      </extLst>
    </cacheHierarchy>
    <cacheHierarchy uniqueName="[Measures].[Sum of Protein]" caption="Sum of Protein" measure="1" displayFolder="" measureGroup="80 CEREALS" count="0">
      <extLst>
        <ext xmlns:x15="http://schemas.microsoft.com/office/spreadsheetml/2010/11/main" uri="{B97F6D7D-B522-45F9-BDA1-12C45D357490}">
          <x15:cacheHierarchy aggregatedColumn="7"/>
        </ext>
      </extLst>
    </cacheHierarchy>
    <cacheHierarchy uniqueName="[Measures].[Sum of Vitamins]" caption="Sum of Vitamins" measure="1" displayFolder="" measureGroup="80 CEREALS" count="0">
      <extLst>
        <ext xmlns:x15="http://schemas.microsoft.com/office/spreadsheetml/2010/11/main" uri="{B97F6D7D-B522-45F9-BDA1-12C45D357490}">
          <x15:cacheHierarchy aggregatedColumn="9"/>
        </ext>
      </extLst>
    </cacheHierarchy>
    <cacheHierarchy uniqueName="[Measures].[Sum of Sugars]" caption="Sum of Sugars" measure="1" displayFolder="" measureGroup="80 CEREALS" count="0">
      <extLst>
        <ext xmlns:x15="http://schemas.microsoft.com/office/spreadsheetml/2010/11/main" uri="{B97F6D7D-B522-45F9-BDA1-12C45D357490}">
          <x15:cacheHierarchy aggregatedColumn="13"/>
        </ext>
      </extLst>
    </cacheHierarchy>
    <cacheHierarchy uniqueName="[Measures].[Sum of Sodium]" caption="Sum of Sodium" measure="1" displayFolder="" measureGroup="80 CEREALS" count="0">
      <extLst>
        <ext xmlns:x15="http://schemas.microsoft.com/office/spreadsheetml/2010/11/main" uri="{B97F6D7D-B522-45F9-BDA1-12C45D357490}">
          <x15:cacheHierarchy aggregatedColumn="14"/>
        </ext>
      </extLst>
    </cacheHierarchy>
    <cacheHierarchy uniqueName="[Measures].[Sum of Complex Carbohydrate]" caption="Sum of Complex Carbohydrate" measure="1" displayFolder="" measureGroup="80 CEREALS" count="0">
      <extLst>
        <ext xmlns:x15="http://schemas.microsoft.com/office/spreadsheetml/2010/11/main" uri="{B97F6D7D-B522-45F9-BDA1-12C45D357490}">
          <x15:cacheHierarchy aggregatedColumn="11"/>
        </ext>
      </extLst>
    </cacheHierarchy>
    <cacheHierarchy uniqueName="[Measures].[Sum of Fats]" caption="Sum of Fats" measure="1" displayFolder="" measureGroup="80 CEREALS" count="0">
      <extLst>
        <ext xmlns:x15="http://schemas.microsoft.com/office/spreadsheetml/2010/11/main" uri="{B97F6D7D-B522-45F9-BDA1-12C45D357490}">
          <x15:cacheHierarchy aggregatedColumn="12"/>
        </ext>
      </extLst>
    </cacheHierarchy>
    <cacheHierarchy uniqueName="[Measures].[Sum of Fibers]" caption="Sum of Fibers" measure="1" displayFolder="" measureGroup="80 CEREALS" count="0">
      <extLst>
        <ext xmlns:x15="http://schemas.microsoft.com/office/spreadsheetml/2010/11/main" uri="{B97F6D7D-B522-45F9-BDA1-12C45D357490}">
          <x15:cacheHierarchy aggregatedColumn="8"/>
        </ext>
      </extLst>
    </cacheHierarchy>
    <cacheHierarchy uniqueName="[Measures].[Full Rate]" caption="Full Rate" measure="1" displayFolder="" measureGroup="80 CEREALS" count="0"/>
    <cacheHierarchy uniqueName="[Measures].[__XL_Count 80 CEREALS]" caption="__XL_Count 80 CEREALS" measure="1" displayFolder="" measureGroup="80 CEREALS" count="0" hidden="1"/>
    <cacheHierarchy uniqueName="[Measures].[__XL_Count Nutrient Density]" caption="__XL_Count Nutrient Density" measure="1" displayFolder="" measureGroup="Nutrient Density" count="0" hidden="1"/>
    <cacheHierarchy uniqueName="[Measures].[__No measures defined]" caption="__No measures defined" measure="1" displayFolder="" count="0" hidden="1"/>
  </cacheHierarchies>
  <kpis count="0"/>
  <dimensions count="3">
    <dimension name="80 CEREALS" uniqueName="[80 CEREALS]" caption="80 CEREALS"/>
    <dimension measure="1" name="Measures" uniqueName="[Measures]" caption="Measures"/>
    <dimension name="Nutrient Density" uniqueName="[Nutrient Density]" caption="Nutrient Density"/>
  </dimensions>
  <measureGroups count="2">
    <measureGroup name="80 CEREALS" caption="80 CEREALS"/>
    <measureGroup name="Nutrient Density" caption="Nutrient Density"/>
  </measureGroups>
  <maps count="3">
    <map measureGroup="0" dimension="0"/>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77.676574537036" backgroundQuery="1" createdVersion="8" refreshedVersion="8" minRefreshableVersion="3" recordCount="0" supportSubquery="1" supportAdvancedDrill="1" xr:uid="{A630C205-8636-4D6C-92BF-779A41F4B9C7}">
  <cacheSource type="external" connectionId="5"/>
  <cacheFields count="3">
    <cacheField name="[Nutrient Density].[Nutrient Density Category].[Nutrient Density Category]" caption="Nutrient Density Category" numFmtId="0" hierarchy="27" level="1">
      <sharedItems count="3">
        <s v="Low Nutrient Density"/>
        <s v="Moderate Nutrient Density"/>
        <s v="High Nutrient Density"/>
      </sharedItems>
    </cacheField>
    <cacheField name="[Measures].[Distinct Count of Cereal Name]" caption="Distinct Count of Cereal Name" numFmtId="0" hierarchy="37" level="32767"/>
    <cacheField name="[80 CEREALS].[Manufacturer Of Cereal].[Manufacturer Of Cereal]" caption="Manufacturer Of Cereal" numFmtId="0" level="1">
      <sharedItems containsSemiMixedTypes="0" containsNonDate="0" containsString="0"/>
    </cacheField>
  </cacheFields>
  <cacheHierarchies count="51">
    <cacheHierarchy uniqueName="[80 CEREALS].[Manufacturer Of Cereal]" caption="Manufacturer Of Cereal" attribute="1" defaultMemberUniqueName="[80 CEREALS].[Manufacturer Of Cereal].[All]" allUniqueName="[80 CEREALS].[Manufacturer Of Cereal].[All]" dimensionUniqueName="[80 CEREALS]" displayFolder="" count="2" memberValueDatatype="130" unbalanced="0">
      <fieldsUsage count="2">
        <fieldUsage x="-1"/>
        <fieldUsage x="2"/>
      </fieldsUsage>
    </cacheHierarchy>
    <cacheHierarchy uniqueName="[80 CEREALS].[Cereal Name]" caption="Cereal Name" attribute="1" defaultMemberUniqueName="[80 CEREALS].[Cereal Name].[All]" allUniqueName="[80 CEREALS].[Cereal Name].[All]" dimensionUniqueName="[80 CEREALS]" displayFolder="" count="0" memberValueDatatype="130" unbalanced="0"/>
    <cacheHierarchy uniqueName="[80 CEREALS].[Type]" caption="Type" attribute="1" defaultMemberUniqueName="[80 CEREALS].[Type].[All]" allUniqueName="[80 CEREALS].[Type].[All]" dimensionUniqueName="[80 CEREALS]" displayFolder="" count="0" memberValueDatatype="130" unbalanced="0"/>
    <cacheHierarchy uniqueName="[80 CEREALS].[Rating]" caption="Rating" attribute="1" defaultMemberUniqueName="[80 CEREALS].[Rating].[All]" allUniqueName="[80 CEREALS].[Rating].[All]" dimensionUniqueName="[80 CEREALS]" displayFolder="" count="0" memberValueDatatype="20" unbalanced="0"/>
    <cacheHierarchy uniqueName="[80 CEREALS].[Shelf]" caption="Shelf" attribute="1" defaultMemberUniqueName="[80 CEREALS].[Shelf].[All]" allUniqueName="[80 CEREALS].[Shelf].[All]" dimensionUniqueName="[80 CEREALS]" displayFolder="" count="0" memberValueDatatype="20" unbalanced="0"/>
    <cacheHierarchy uniqueName="[80 CEREALS].[Weight Of One Serving]" caption="Weight Of One Serving" attribute="1" defaultMemberUniqueName="[80 CEREALS].[Weight Of One Serving].[All]" allUniqueName="[80 CEREALS].[Weight Of One Serving].[All]" dimensionUniqueName="[80 CEREALS]" displayFolder="" count="0" memberValueDatatype="20" unbalanced="0"/>
    <cacheHierarchy uniqueName="[80 CEREALS].[Calories]" caption="Calories" attribute="1" defaultMemberUniqueName="[80 CEREALS].[Calories].[All]" allUniqueName="[80 CEREALS].[Calories].[All]" dimensionUniqueName="[80 CEREALS]" displayFolder="" count="0" memberValueDatatype="20" unbalanced="0"/>
    <cacheHierarchy uniqueName="[80 CEREALS].[Protein]" caption="Protein" attribute="1" defaultMemberUniqueName="[80 CEREALS].[Protein].[All]" allUniqueName="[80 CEREALS].[Protein].[All]" dimensionUniqueName="[80 CEREALS]" displayFolder="" count="0" memberValueDatatype="20" unbalanced="0"/>
    <cacheHierarchy uniqueName="[80 CEREALS].[Fibers]" caption="Fibers" attribute="1" defaultMemberUniqueName="[80 CEREALS].[Fibers].[All]" allUniqueName="[80 CEREALS].[Fibers].[All]" dimensionUniqueName="[80 CEREALS]" displayFolder="" count="0" memberValueDatatype="5" unbalanced="0"/>
    <cacheHierarchy uniqueName="[80 CEREALS].[Vitamins]" caption="Vitamins" attribute="1" defaultMemberUniqueName="[80 CEREALS].[Vitamins].[All]" allUniqueName="[80 CEREALS].[Vitamins].[All]" dimensionUniqueName="[80 CEREALS]" displayFolder="" count="0" memberValueDatatype="20" unbalanced="0"/>
    <cacheHierarchy uniqueName="[80 CEREALS].[Potassium]" caption="Potassium" attribute="1" defaultMemberUniqueName="[80 CEREALS].[Potassium].[All]" allUniqueName="[80 CEREALS].[Potassium].[All]" dimensionUniqueName="[80 CEREALS]" displayFolder="" count="0" memberValueDatatype="5" unbalanced="0"/>
    <cacheHierarchy uniqueName="[80 CEREALS].[Complex Carbohydrate]" caption="Complex Carbohydrate" attribute="1" defaultMemberUniqueName="[80 CEREALS].[Complex Carbohydrate].[All]" allUniqueName="[80 CEREALS].[Complex Carbohydrate].[All]" dimensionUniqueName="[80 CEREALS]" displayFolder="" count="0" memberValueDatatype="5" unbalanced="0"/>
    <cacheHierarchy uniqueName="[80 CEREALS].[Fats]" caption="Fats" attribute="1" defaultMemberUniqueName="[80 CEREALS].[Fats].[All]" allUniqueName="[80 CEREALS].[Fats].[All]" dimensionUniqueName="[80 CEREALS]" displayFolder="" count="0" memberValueDatatype="20" unbalanced="0"/>
    <cacheHierarchy uniqueName="[80 CEREALS].[Sugars]" caption="Sugars" attribute="1" defaultMemberUniqueName="[80 CEREALS].[Sugars].[All]" allUniqueName="[80 CEREALS].[Sugars].[All]" dimensionUniqueName="[80 CEREALS]" displayFolder="" count="0" memberValueDatatype="20" unbalanced="0"/>
    <cacheHierarchy uniqueName="[80 CEREALS].[Sodium]" caption="Sodium" attribute="1" defaultMemberUniqueName="[80 CEREALS].[Sodium].[All]" allUniqueName="[80 CEREALS].[Sodium].[All]" dimensionUniqueName="[80 CEREALS]" displayFolder="" count="0" memberValueDatatype="5" unbalanced="0"/>
    <cacheHierarchy uniqueName="[Nutrient Density].[Cereal Name]" caption="Cereal Name" attribute="1" defaultMemberUniqueName="[Nutrient Density].[Cereal Name].[All]" allUniqueName="[Nutrient Density].[Cereal Name].[All]" dimensionUniqueName="[Nutrient Density]" displayFolder="" count="0" memberValueDatatype="130" unbalanced="0"/>
    <cacheHierarchy uniqueName="[Nutrient Density].[Weight Of One Serving]" caption="Weight Of One Serving" attribute="1" defaultMemberUniqueName="[Nutrient Density].[Weight Of One Serving].[All]" allUniqueName="[Nutrient Density].[Weight Of One Serving].[All]" dimensionUniqueName="[Nutrient Density]" displayFolder="" count="0" memberValueDatatype="20" unbalanced="0"/>
    <cacheHierarchy uniqueName="[Nutrient Density].[Calories]" caption="Calories" attribute="1" defaultMemberUniqueName="[Nutrient Density].[Calories].[All]" allUniqueName="[Nutrient Density].[Calories].[All]" dimensionUniqueName="[Nutrient Density]" displayFolder="" count="0" memberValueDatatype="20" unbalanced="0"/>
    <cacheHierarchy uniqueName="[Nutrient Density].[Vitamins]" caption="Vitamins" attribute="1" defaultMemberUniqueName="[Nutrient Density].[Vitamins].[All]" allUniqueName="[Nutrient Density].[Vitamins].[All]" dimensionUniqueName="[Nutrient Density]" displayFolder="" count="0" memberValueDatatype="20" unbalanced="0"/>
    <cacheHierarchy uniqueName="[Nutrient Density].[Protein Density]" caption="Protein Density" attribute="1" defaultMemberUniqueName="[Nutrient Density].[Protein Density].[All]" allUniqueName="[Nutrient Density].[Protein Density].[All]" dimensionUniqueName="[Nutrient Density]" displayFolder="" count="0" memberValueDatatype="5" unbalanced="0"/>
    <cacheHierarchy uniqueName="[Nutrient Density].[Fiber Density]" caption="Fiber Density" attribute="1" defaultMemberUniqueName="[Nutrient Density].[Fiber Density].[All]" allUniqueName="[Nutrient Density].[Fiber Density].[All]" dimensionUniqueName="[Nutrient Density]" displayFolder="" count="0" memberValueDatatype="5" unbalanced="0"/>
    <cacheHierarchy uniqueName="[Nutrient Density].[Sugar Density]" caption="Sugar Density" attribute="1" defaultMemberUniqueName="[Nutrient Density].[Sugar Density].[All]" allUniqueName="[Nutrient Density].[Sugar Density].[All]" dimensionUniqueName="[Nutrient Density]" displayFolder="" count="0" memberValueDatatype="5" unbalanced="0"/>
    <cacheHierarchy uniqueName="[Nutrient Density].[Potassium Density]" caption="Potassium Density" attribute="1" defaultMemberUniqueName="[Nutrient Density].[Potassium Density].[All]" allUniqueName="[Nutrient Density].[Potassium Density].[All]" dimensionUniqueName="[Nutrient Density]" displayFolder="" count="0" memberValueDatatype="5" unbalanced="0"/>
    <cacheHierarchy uniqueName="[Nutrient Density].[Complex Carbohydrate Density]" caption="Complex Carbohydrate Density" attribute="1" defaultMemberUniqueName="[Nutrient Density].[Complex Carbohydrate Density].[All]" allUniqueName="[Nutrient Density].[Complex Carbohydrate Density].[All]" dimensionUniqueName="[Nutrient Density]" displayFolder="" count="0" memberValueDatatype="5" unbalanced="0"/>
    <cacheHierarchy uniqueName="[Nutrient Density].[Fat Density]" caption="Fat Density" attribute="1" defaultMemberUniqueName="[Nutrient Density].[Fat Density].[All]" allUniqueName="[Nutrient Density].[Fat Density].[All]" dimensionUniqueName="[Nutrient Density]" displayFolder="" count="0" memberValueDatatype="5" unbalanced="0"/>
    <cacheHierarchy uniqueName="[Nutrient Density].[Sodium Density]" caption="Sodium Density" attribute="1" defaultMemberUniqueName="[Nutrient Density].[Sodium Density].[All]" allUniqueName="[Nutrient Density].[Sodium Density].[All]" dimensionUniqueName="[Nutrient Density]" displayFolder="" count="0" memberValueDatatype="5" unbalanced="0"/>
    <cacheHierarchy uniqueName="[Nutrient Density].[Nutrient Density Score]" caption="Nutrient Density Score" attribute="1" defaultMemberUniqueName="[Nutrient Density].[Nutrient Density Score].[All]" allUniqueName="[Nutrient Density].[Nutrient Density Score].[All]" dimensionUniqueName="[Nutrient Density]" displayFolder="" count="0" memberValueDatatype="5" unbalanced="0"/>
    <cacheHierarchy uniqueName="[Nutrient Density].[Nutrient Density Category]" caption="Nutrient Density Category" attribute="1" defaultMemberUniqueName="[Nutrient Density].[Nutrient Density Category].[All]" allUniqueName="[Nutrient Density].[Nutrient Density Category].[All]" dimensionUniqueName="[Nutrient Density]" displayFolder="" count="2" memberValueDatatype="130" unbalanced="0">
      <fieldsUsage count="2">
        <fieldUsage x="-1"/>
        <fieldUsage x="0"/>
      </fieldsUsage>
    </cacheHierarchy>
    <cacheHierarchy uniqueName="[Nutrient Density].[score]" caption="score" attribute="1" defaultMemberUniqueName="[Nutrient Density].[score].[All]" allUniqueName="[Nutrient Density].[score].[All]" dimensionUniqueName="[Nutrient Density]" displayFolder="" count="0" memberValueDatatype="20" unbalanced="0"/>
    <cacheHierarchy uniqueName="[Measures].[Count of Cereal Name]" caption="Count of Cereal Name" measure="1" displayFolder="" measureGroup="80 CEREALS" count="0">
      <extLst>
        <ext xmlns:x15="http://schemas.microsoft.com/office/spreadsheetml/2010/11/main" uri="{B97F6D7D-B522-45F9-BDA1-12C45D357490}">
          <x15:cacheHierarchy aggregatedColumn="1"/>
        </ext>
      </extLst>
    </cacheHierarchy>
    <cacheHierarchy uniqueName="[Measures].[Count of Cereal Name 2]" caption="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Calories]" caption="Sum of Calories" measure="1" displayFolder="" measureGroup="80 CEREALS" count="0">
      <extLst>
        <ext xmlns:x15="http://schemas.microsoft.com/office/spreadsheetml/2010/11/main" uri="{B97F6D7D-B522-45F9-BDA1-12C45D357490}">
          <x15:cacheHierarchy aggregatedColumn="6"/>
        </ext>
      </extLst>
    </cacheHierarchy>
    <cacheHierarchy uniqueName="[Measures].[Sum of Potassium]" caption="Sum of Potassium" measure="1" displayFolder="" measureGroup="80 CEREALS" count="0">
      <extLst>
        <ext xmlns:x15="http://schemas.microsoft.com/office/spreadsheetml/2010/11/main" uri="{B97F6D7D-B522-45F9-BDA1-12C45D357490}">
          <x15:cacheHierarchy aggregatedColumn="10"/>
        </ext>
      </extLst>
    </cacheHierarchy>
    <cacheHierarchy uniqueName="[Measures].[Sum of Rating]" caption="Sum of Rating" measure="1" displayFolder="" measureGroup="80 CEREALS" count="0">
      <extLst>
        <ext xmlns:x15="http://schemas.microsoft.com/office/spreadsheetml/2010/11/main" uri="{B97F6D7D-B522-45F9-BDA1-12C45D357490}">
          <x15:cacheHierarchy aggregatedColumn="3"/>
        </ext>
      </extLst>
    </cacheHierarchy>
    <cacheHierarchy uniqueName="[Measures].[Max of Rating]" caption="Max of Rating" measure="1" displayFolder="" measureGroup="80 CEREALS" count="0">
      <extLst>
        <ext xmlns:x15="http://schemas.microsoft.com/office/spreadsheetml/2010/11/main" uri="{B97F6D7D-B522-45F9-BDA1-12C45D357490}">
          <x15:cacheHierarchy aggregatedColumn="3"/>
        </ext>
      </extLst>
    </cacheHierarchy>
    <cacheHierarchy uniqueName="[Measures].[Count of Manufacturer Of Cereal]" caption="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Manufacturer Of Cereal]" caption="Distinct 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Cereal Name]" caption="Distinct Count of Cereal Name" measure="1" displayFolder="" measureGroup="80 CEREALS" count="0" oneField="1">
      <fieldsUsage count="1">
        <fieldUsage x="1"/>
      </fieldsUsage>
      <extLst>
        <ext xmlns:x15="http://schemas.microsoft.com/office/spreadsheetml/2010/11/main" uri="{B97F6D7D-B522-45F9-BDA1-12C45D357490}">
          <x15:cacheHierarchy aggregatedColumn="1"/>
        </ext>
      </extLst>
    </cacheHierarchy>
    <cacheHierarchy uniqueName="[Measures].[Distinct Count of Cereal Name 2]" caption="Distinct 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Weight Of One Serving]" caption="Sum of Weight Of One Serving" measure="1" displayFolder="" measureGroup="80 CEREALS" count="0">
      <extLst>
        <ext xmlns:x15="http://schemas.microsoft.com/office/spreadsheetml/2010/11/main" uri="{B97F6D7D-B522-45F9-BDA1-12C45D357490}">
          <x15:cacheHierarchy aggregatedColumn="5"/>
        </ext>
      </extLst>
    </cacheHierarchy>
    <cacheHierarchy uniqueName="[Measures].[Sum of Protein]" caption="Sum of Protein" measure="1" displayFolder="" measureGroup="80 CEREALS" count="0">
      <extLst>
        <ext xmlns:x15="http://schemas.microsoft.com/office/spreadsheetml/2010/11/main" uri="{B97F6D7D-B522-45F9-BDA1-12C45D357490}">
          <x15:cacheHierarchy aggregatedColumn="7"/>
        </ext>
      </extLst>
    </cacheHierarchy>
    <cacheHierarchy uniqueName="[Measures].[Sum of Vitamins]" caption="Sum of Vitamins" measure="1" displayFolder="" measureGroup="80 CEREALS" count="0">
      <extLst>
        <ext xmlns:x15="http://schemas.microsoft.com/office/spreadsheetml/2010/11/main" uri="{B97F6D7D-B522-45F9-BDA1-12C45D357490}">
          <x15:cacheHierarchy aggregatedColumn="9"/>
        </ext>
      </extLst>
    </cacheHierarchy>
    <cacheHierarchy uniqueName="[Measures].[Sum of Sugars]" caption="Sum of Sugars" measure="1" displayFolder="" measureGroup="80 CEREALS" count="0">
      <extLst>
        <ext xmlns:x15="http://schemas.microsoft.com/office/spreadsheetml/2010/11/main" uri="{B97F6D7D-B522-45F9-BDA1-12C45D357490}">
          <x15:cacheHierarchy aggregatedColumn="13"/>
        </ext>
      </extLst>
    </cacheHierarchy>
    <cacheHierarchy uniqueName="[Measures].[Sum of Sodium]" caption="Sum of Sodium" measure="1" displayFolder="" measureGroup="80 CEREALS" count="0">
      <extLst>
        <ext xmlns:x15="http://schemas.microsoft.com/office/spreadsheetml/2010/11/main" uri="{B97F6D7D-B522-45F9-BDA1-12C45D357490}">
          <x15:cacheHierarchy aggregatedColumn="14"/>
        </ext>
      </extLst>
    </cacheHierarchy>
    <cacheHierarchy uniqueName="[Measures].[Sum of Complex Carbohydrate]" caption="Sum of Complex Carbohydrate" measure="1" displayFolder="" measureGroup="80 CEREALS" count="0">
      <extLst>
        <ext xmlns:x15="http://schemas.microsoft.com/office/spreadsheetml/2010/11/main" uri="{B97F6D7D-B522-45F9-BDA1-12C45D357490}">
          <x15:cacheHierarchy aggregatedColumn="11"/>
        </ext>
      </extLst>
    </cacheHierarchy>
    <cacheHierarchy uniqueName="[Measures].[Sum of Fats]" caption="Sum of Fats" measure="1" displayFolder="" measureGroup="80 CEREALS" count="0">
      <extLst>
        <ext xmlns:x15="http://schemas.microsoft.com/office/spreadsheetml/2010/11/main" uri="{B97F6D7D-B522-45F9-BDA1-12C45D357490}">
          <x15:cacheHierarchy aggregatedColumn="12"/>
        </ext>
      </extLst>
    </cacheHierarchy>
    <cacheHierarchy uniqueName="[Measures].[Sum of Fibers]" caption="Sum of Fibers" measure="1" displayFolder="" measureGroup="80 CEREALS" count="0">
      <extLst>
        <ext xmlns:x15="http://schemas.microsoft.com/office/spreadsheetml/2010/11/main" uri="{B97F6D7D-B522-45F9-BDA1-12C45D357490}">
          <x15:cacheHierarchy aggregatedColumn="8"/>
        </ext>
      </extLst>
    </cacheHierarchy>
    <cacheHierarchy uniqueName="[Measures].[Full Rate]" caption="Full Rate" measure="1" displayFolder="" measureGroup="80 CEREALS" count="0"/>
    <cacheHierarchy uniqueName="[Measures].[__XL_Count 80 CEREALS]" caption="__XL_Count 80 CEREALS" measure="1" displayFolder="" measureGroup="80 CEREALS" count="0" hidden="1"/>
    <cacheHierarchy uniqueName="[Measures].[__XL_Count Nutrient Density]" caption="__XL_Count Nutrient Density" measure="1" displayFolder="" measureGroup="Nutrient Density" count="0" hidden="1"/>
    <cacheHierarchy uniqueName="[Measures].[__No measures defined]" caption="__No measures defined" measure="1" displayFolder="" count="0" hidden="1"/>
  </cacheHierarchies>
  <kpis count="0"/>
  <dimensions count="3">
    <dimension name="80 CEREALS" uniqueName="[80 CEREALS]" caption="80 CEREALS"/>
    <dimension measure="1" name="Measures" uniqueName="[Measures]" caption="Measures"/>
    <dimension name="Nutrient Density" uniqueName="[Nutrient Density]" caption="Nutrient Density"/>
  </dimensions>
  <measureGroups count="2">
    <measureGroup name="80 CEREALS" caption="80 CEREALS"/>
    <measureGroup name="Nutrient Density" caption="Nutrient Density"/>
  </measureGroups>
  <maps count="3">
    <map measureGroup="0" dimension="0"/>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77.676575578706" backgroundQuery="1" createdVersion="8" refreshedVersion="8" minRefreshableVersion="3" recordCount="0" supportSubquery="1" supportAdvancedDrill="1" xr:uid="{B0F49E61-2D03-4B31-8EF2-A236BE7661BC}">
  <cacheSource type="external" connectionId="5"/>
  <cacheFields count="3">
    <cacheField name="[80 CEREALS].[Manufacturer Of Cereal].[Manufacturer Of Cereal]" caption="Manufacturer Of Cereal" numFmtId="0" level="1">
      <sharedItems count="7">
        <s v="American Home Food Products"/>
        <s v="General Mills"/>
        <s v="Kelloggs"/>
        <s v="Nabisco"/>
        <s v="Post"/>
        <s v="Quaker Oats"/>
        <s v="Ralston Purina"/>
      </sharedItems>
    </cacheField>
    <cacheField name="[Measures].[Distinct Count of Cereal Name]" caption="Distinct Count of Cereal Name" numFmtId="0" hierarchy="37" level="32767"/>
    <cacheField name="[Nutrient Density].[Nutrient Density Category].[Nutrient Density Category]" caption="Nutrient Density Category" numFmtId="0" hierarchy="27" level="1">
      <sharedItems containsSemiMixedTypes="0" containsNonDate="0" containsString="0"/>
    </cacheField>
  </cacheFields>
  <cacheHierarchies count="51">
    <cacheHierarchy uniqueName="[80 CEREALS].[Manufacturer Of Cereal]" caption="Manufacturer Of Cereal" attribute="1" defaultMemberUniqueName="[80 CEREALS].[Manufacturer Of Cereal].[All]" allUniqueName="[80 CEREALS].[Manufacturer Of Cereal].[All]" dimensionUniqueName="[80 CEREALS]" displayFolder="" count="2" memberValueDatatype="130" unbalanced="0">
      <fieldsUsage count="2">
        <fieldUsage x="-1"/>
        <fieldUsage x="0"/>
      </fieldsUsage>
    </cacheHierarchy>
    <cacheHierarchy uniqueName="[80 CEREALS].[Cereal Name]" caption="Cereal Name" attribute="1" defaultMemberUniqueName="[80 CEREALS].[Cereal Name].[All]" allUniqueName="[80 CEREALS].[Cereal Name].[All]" dimensionUniqueName="[80 CEREALS]" displayFolder="" count="0" memberValueDatatype="130" unbalanced="0"/>
    <cacheHierarchy uniqueName="[80 CEREALS].[Type]" caption="Type" attribute="1" defaultMemberUniqueName="[80 CEREALS].[Type].[All]" allUniqueName="[80 CEREALS].[Type].[All]" dimensionUniqueName="[80 CEREALS]" displayFolder="" count="0" memberValueDatatype="130" unbalanced="0"/>
    <cacheHierarchy uniqueName="[80 CEREALS].[Rating]" caption="Rating" attribute="1" defaultMemberUniqueName="[80 CEREALS].[Rating].[All]" allUniqueName="[80 CEREALS].[Rating].[All]" dimensionUniqueName="[80 CEREALS]" displayFolder="" count="0" memberValueDatatype="20" unbalanced="0"/>
    <cacheHierarchy uniqueName="[80 CEREALS].[Shelf]" caption="Shelf" attribute="1" defaultMemberUniqueName="[80 CEREALS].[Shelf].[All]" allUniqueName="[80 CEREALS].[Shelf].[All]" dimensionUniqueName="[80 CEREALS]" displayFolder="" count="0" memberValueDatatype="20" unbalanced="0"/>
    <cacheHierarchy uniqueName="[80 CEREALS].[Weight Of One Serving]" caption="Weight Of One Serving" attribute="1" defaultMemberUniqueName="[80 CEREALS].[Weight Of One Serving].[All]" allUniqueName="[80 CEREALS].[Weight Of One Serving].[All]" dimensionUniqueName="[80 CEREALS]" displayFolder="" count="0" memberValueDatatype="20" unbalanced="0"/>
    <cacheHierarchy uniqueName="[80 CEREALS].[Calories]" caption="Calories" attribute="1" defaultMemberUniqueName="[80 CEREALS].[Calories].[All]" allUniqueName="[80 CEREALS].[Calories].[All]" dimensionUniqueName="[80 CEREALS]" displayFolder="" count="0" memberValueDatatype="20" unbalanced="0"/>
    <cacheHierarchy uniqueName="[80 CEREALS].[Protein]" caption="Protein" attribute="1" defaultMemberUniqueName="[80 CEREALS].[Protein].[All]" allUniqueName="[80 CEREALS].[Protein].[All]" dimensionUniqueName="[80 CEREALS]" displayFolder="" count="0" memberValueDatatype="20" unbalanced="0"/>
    <cacheHierarchy uniqueName="[80 CEREALS].[Fibers]" caption="Fibers" attribute="1" defaultMemberUniqueName="[80 CEREALS].[Fibers].[All]" allUniqueName="[80 CEREALS].[Fibers].[All]" dimensionUniqueName="[80 CEREALS]" displayFolder="" count="0" memberValueDatatype="5" unbalanced="0"/>
    <cacheHierarchy uniqueName="[80 CEREALS].[Vitamins]" caption="Vitamins" attribute="1" defaultMemberUniqueName="[80 CEREALS].[Vitamins].[All]" allUniqueName="[80 CEREALS].[Vitamins].[All]" dimensionUniqueName="[80 CEREALS]" displayFolder="" count="0" memberValueDatatype="20" unbalanced="0"/>
    <cacheHierarchy uniqueName="[80 CEREALS].[Potassium]" caption="Potassium" attribute="1" defaultMemberUniqueName="[80 CEREALS].[Potassium].[All]" allUniqueName="[80 CEREALS].[Potassium].[All]" dimensionUniqueName="[80 CEREALS]" displayFolder="" count="0" memberValueDatatype="5" unbalanced="0"/>
    <cacheHierarchy uniqueName="[80 CEREALS].[Complex Carbohydrate]" caption="Complex Carbohydrate" attribute="1" defaultMemberUniqueName="[80 CEREALS].[Complex Carbohydrate].[All]" allUniqueName="[80 CEREALS].[Complex Carbohydrate].[All]" dimensionUniqueName="[80 CEREALS]" displayFolder="" count="0" memberValueDatatype="5" unbalanced="0"/>
    <cacheHierarchy uniqueName="[80 CEREALS].[Fats]" caption="Fats" attribute="1" defaultMemberUniqueName="[80 CEREALS].[Fats].[All]" allUniqueName="[80 CEREALS].[Fats].[All]" dimensionUniqueName="[80 CEREALS]" displayFolder="" count="0" memberValueDatatype="20" unbalanced="0"/>
    <cacheHierarchy uniqueName="[80 CEREALS].[Sugars]" caption="Sugars" attribute="1" defaultMemberUniqueName="[80 CEREALS].[Sugars].[All]" allUniqueName="[80 CEREALS].[Sugars].[All]" dimensionUniqueName="[80 CEREALS]" displayFolder="" count="0" memberValueDatatype="20" unbalanced="0"/>
    <cacheHierarchy uniqueName="[80 CEREALS].[Sodium]" caption="Sodium" attribute="1" defaultMemberUniqueName="[80 CEREALS].[Sodium].[All]" allUniqueName="[80 CEREALS].[Sodium].[All]" dimensionUniqueName="[80 CEREALS]" displayFolder="" count="0" memberValueDatatype="5" unbalanced="0"/>
    <cacheHierarchy uniqueName="[Nutrient Density].[Cereal Name]" caption="Cereal Name" attribute="1" defaultMemberUniqueName="[Nutrient Density].[Cereal Name].[All]" allUniqueName="[Nutrient Density].[Cereal Name].[All]" dimensionUniqueName="[Nutrient Density]" displayFolder="" count="0" memberValueDatatype="130" unbalanced="0"/>
    <cacheHierarchy uniqueName="[Nutrient Density].[Weight Of One Serving]" caption="Weight Of One Serving" attribute="1" defaultMemberUniqueName="[Nutrient Density].[Weight Of One Serving].[All]" allUniqueName="[Nutrient Density].[Weight Of One Serving].[All]" dimensionUniqueName="[Nutrient Density]" displayFolder="" count="0" memberValueDatatype="20" unbalanced="0"/>
    <cacheHierarchy uniqueName="[Nutrient Density].[Calories]" caption="Calories" attribute="1" defaultMemberUniqueName="[Nutrient Density].[Calories].[All]" allUniqueName="[Nutrient Density].[Calories].[All]" dimensionUniqueName="[Nutrient Density]" displayFolder="" count="0" memberValueDatatype="20" unbalanced="0"/>
    <cacheHierarchy uniqueName="[Nutrient Density].[Vitamins]" caption="Vitamins" attribute="1" defaultMemberUniqueName="[Nutrient Density].[Vitamins].[All]" allUniqueName="[Nutrient Density].[Vitamins].[All]" dimensionUniqueName="[Nutrient Density]" displayFolder="" count="0" memberValueDatatype="20" unbalanced="0"/>
    <cacheHierarchy uniqueName="[Nutrient Density].[Protein Density]" caption="Protein Density" attribute="1" defaultMemberUniqueName="[Nutrient Density].[Protein Density].[All]" allUniqueName="[Nutrient Density].[Protein Density].[All]" dimensionUniqueName="[Nutrient Density]" displayFolder="" count="0" memberValueDatatype="5" unbalanced="0"/>
    <cacheHierarchy uniqueName="[Nutrient Density].[Fiber Density]" caption="Fiber Density" attribute="1" defaultMemberUniqueName="[Nutrient Density].[Fiber Density].[All]" allUniqueName="[Nutrient Density].[Fiber Density].[All]" dimensionUniqueName="[Nutrient Density]" displayFolder="" count="0" memberValueDatatype="5" unbalanced="0"/>
    <cacheHierarchy uniqueName="[Nutrient Density].[Sugar Density]" caption="Sugar Density" attribute="1" defaultMemberUniqueName="[Nutrient Density].[Sugar Density].[All]" allUniqueName="[Nutrient Density].[Sugar Density].[All]" dimensionUniqueName="[Nutrient Density]" displayFolder="" count="0" memberValueDatatype="5" unbalanced="0"/>
    <cacheHierarchy uniqueName="[Nutrient Density].[Potassium Density]" caption="Potassium Density" attribute="1" defaultMemberUniqueName="[Nutrient Density].[Potassium Density].[All]" allUniqueName="[Nutrient Density].[Potassium Density].[All]" dimensionUniqueName="[Nutrient Density]" displayFolder="" count="0" memberValueDatatype="5" unbalanced="0"/>
    <cacheHierarchy uniqueName="[Nutrient Density].[Complex Carbohydrate Density]" caption="Complex Carbohydrate Density" attribute="1" defaultMemberUniqueName="[Nutrient Density].[Complex Carbohydrate Density].[All]" allUniqueName="[Nutrient Density].[Complex Carbohydrate Density].[All]" dimensionUniqueName="[Nutrient Density]" displayFolder="" count="0" memberValueDatatype="5" unbalanced="0"/>
    <cacheHierarchy uniqueName="[Nutrient Density].[Fat Density]" caption="Fat Density" attribute="1" defaultMemberUniqueName="[Nutrient Density].[Fat Density].[All]" allUniqueName="[Nutrient Density].[Fat Density].[All]" dimensionUniqueName="[Nutrient Density]" displayFolder="" count="0" memberValueDatatype="5" unbalanced="0"/>
    <cacheHierarchy uniqueName="[Nutrient Density].[Sodium Density]" caption="Sodium Density" attribute="1" defaultMemberUniqueName="[Nutrient Density].[Sodium Density].[All]" allUniqueName="[Nutrient Density].[Sodium Density].[All]" dimensionUniqueName="[Nutrient Density]" displayFolder="" count="0" memberValueDatatype="5" unbalanced="0"/>
    <cacheHierarchy uniqueName="[Nutrient Density].[Nutrient Density Score]" caption="Nutrient Density Score" attribute="1" defaultMemberUniqueName="[Nutrient Density].[Nutrient Density Score].[All]" allUniqueName="[Nutrient Density].[Nutrient Density Score].[All]" dimensionUniqueName="[Nutrient Density]" displayFolder="" count="0" memberValueDatatype="5" unbalanced="0"/>
    <cacheHierarchy uniqueName="[Nutrient Density].[Nutrient Density Category]" caption="Nutrient Density Category" attribute="1" defaultMemberUniqueName="[Nutrient Density].[Nutrient Density Category].[All]" allUniqueName="[Nutrient Density].[Nutrient Density Category].[All]" dimensionUniqueName="[Nutrient Density]" displayFolder="" count="2" memberValueDatatype="130" unbalanced="0">
      <fieldsUsage count="2">
        <fieldUsage x="-1"/>
        <fieldUsage x="2"/>
      </fieldsUsage>
    </cacheHierarchy>
    <cacheHierarchy uniqueName="[Nutrient Density].[score]" caption="score" attribute="1" defaultMemberUniqueName="[Nutrient Density].[score].[All]" allUniqueName="[Nutrient Density].[score].[All]" dimensionUniqueName="[Nutrient Density]" displayFolder="" count="0" memberValueDatatype="20" unbalanced="0"/>
    <cacheHierarchy uniqueName="[Measures].[Count of Cereal Name]" caption="Count of Cereal Name" measure="1" displayFolder="" measureGroup="80 CEREALS" count="0">
      <extLst>
        <ext xmlns:x15="http://schemas.microsoft.com/office/spreadsheetml/2010/11/main" uri="{B97F6D7D-B522-45F9-BDA1-12C45D357490}">
          <x15:cacheHierarchy aggregatedColumn="1"/>
        </ext>
      </extLst>
    </cacheHierarchy>
    <cacheHierarchy uniqueName="[Measures].[Count of Cereal Name 2]" caption="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Calories]" caption="Sum of Calories" measure="1" displayFolder="" measureGroup="80 CEREALS" count="0">
      <extLst>
        <ext xmlns:x15="http://schemas.microsoft.com/office/spreadsheetml/2010/11/main" uri="{B97F6D7D-B522-45F9-BDA1-12C45D357490}">
          <x15:cacheHierarchy aggregatedColumn="6"/>
        </ext>
      </extLst>
    </cacheHierarchy>
    <cacheHierarchy uniqueName="[Measures].[Sum of Potassium]" caption="Sum of Potassium" measure="1" displayFolder="" measureGroup="80 CEREALS" count="0">
      <extLst>
        <ext xmlns:x15="http://schemas.microsoft.com/office/spreadsheetml/2010/11/main" uri="{B97F6D7D-B522-45F9-BDA1-12C45D357490}">
          <x15:cacheHierarchy aggregatedColumn="10"/>
        </ext>
      </extLst>
    </cacheHierarchy>
    <cacheHierarchy uniqueName="[Measures].[Sum of Rating]" caption="Sum of Rating" measure="1" displayFolder="" measureGroup="80 CEREALS" count="0">
      <extLst>
        <ext xmlns:x15="http://schemas.microsoft.com/office/spreadsheetml/2010/11/main" uri="{B97F6D7D-B522-45F9-BDA1-12C45D357490}">
          <x15:cacheHierarchy aggregatedColumn="3"/>
        </ext>
      </extLst>
    </cacheHierarchy>
    <cacheHierarchy uniqueName="[Measures].[Max of Rating]" caption="Max of Rating" measure="1" displayFolder="" measureGroup="80 CEREALS" count="0">
      <extLst>
        <ext xmlns:x15="http://schemas.microsoft.com/office/spreadsheetml/2010/11/main" uri="{B97F6D7D-B522-45F9-BDA1-12C45D357490}">
          <x15:cacheHierarchy aggregatedColumn="3"/>
        </ext>
      </extLst>
    </cacheHierarchy>
    <cacheHierarchy uniqueName="[Measures].[Count of Manufacturer Of Cereal]" caption="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Manufacturer Of Cereal]" caption="Distinct 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Cereal Name]" caption="Distinct Count of Cereal Name" measure="1" displayFolder="" measureGroup="80 CEREALS" count="0" oneField="1">
      <fieldsUsage count="1">
        <fieldUsage x="1"/>
      </fieldsUsage>
      <extLst>
        <ext xmlns:x15="http://schemas.microsoft.com/office/spreadsheetml/2010/11/main" uri="{B97F6D7D-B522-45F9-BDA1-12C45D357490}">
          <x15:cacheHierarchy aggregatedColumn="1"/>
        </ext>
      </extLst>
    </cacheHierarchy>
    <cacheHierarchy uniqueName="[Measures].[Distinct Count of Cereal Name 2]" caption="Distinct 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Weight Of One Serving]" caption="Sum of Weight Of One Serving" measure="1" displayFolder="" measureGroup="80 CEREALS" count="0">
      <extLst>
        <ext xmlns:x15="http://schemas.microsoft.com/office/spreadsheetml/2010/11/main" uri="{B97F6D7D-B522-45F9-BDA1-12C45D357490}">
          <x15:cacheHierarchy aggregatedColumn="5"/>
        </ext>
      </extLst>
    </cacheHierarchy>
    <cacheHierarchy uniqueName="[Measures].[Sum of Protein]" caption="Sum of Protein" measure="1" displayFolder="" measureGroup="80 CEREALS" count="0">
      <extLst>
        <ext xmlns:x15="http://schemas.microsoft.com/office/spreadsheetml/2010/11/main" uri="{B97F6D7D-B522-45F9-BDA1-12C45D357490}">
          <x15:cacheHierarchy aggregatedColumn="7"/>
        </ext>
      </extLst>
    </cacheHierarchy>
    <cacheHierarchy uniqueName="[Measures].[Sum of Vitamins]" caption="Sum of Vitamins" measure="1" displayFolder="" measureGroup="80 CEREALS" count="0">
      <extLst>
        <ext xmlns:x15="http://schemas.microsoft.com/office/spreadsheetml/2010/11/main" uri="{B97F6D7D-B522-45F9-BDA1-12C45D357490}">
          <x15:cacheHierarchy aggregatedColumn="9"/>
        </ext>
      </extLst>
    </cacheHierarchy>
    <cacheHierarchy uniqueName="[Measures].[Sum of Sugars]" caption="Sum of Sugars" measure="1" displayFolder="" measureGroup="80 CEREALS" count="0">
      <extLst>
        <ext xmlns:x15="http://schemas.microsoft.com/office/spreadsheetml/2010/11/main" uri="{B97F6D7D-B522-45F9-BDA1-12C45D357490}">
          <x15:cacheHierarchy aggregatedColumn="13"/>
        </ext>
      </extLst>
    </cacheHierarchy>
    <cacheHierarchy uniqueName="[Measures].[Sum of Sodium]" caption="Sum of Sodium" measure="1" displayFolder="" measureGroup="80 CEREALS" count="0">
      <extLst>
        <ext xmlns:x15="http://schemas.microsoft.com/office/spreadsheetml/2010/11/main" uri="{B97F6D7D-B522-45F9-BDA1-12C45D357490}">
          <x15:cacheHierarchy aggregatedColumn="14"/>
        </ext>
      </extLst>
    </cacheHierarchy>
    <cacheHierarchy uniqueName="[Measures].[Sum of Complex Carbohydrate]" caption="Sum of Complex Carbohydrate" measure="1" displayFolder="" measureGroup="80 CEREALS" count="0">
      <extLst>
        <ext xmlns:x15="http://schemas.microsoft.com/office/spreadsheetml/2010/11/main" uri="{B97F6D7D-B522-45F9-BDA1-12C45D357490}">
          <x15:cacheHierarchy aggregatedColumn="11"/>
        </ext>
      </extLst>
    </cacheHierarchy>
    <cacheHierarchy uniqueName="[Measures].[Sum of Fats]" caption="Sum of Fats" measure="1" displayFolder="" measureGroup="80 CEREALS" count="0">
      <extLst>
        <ext xmlns:x15="http://schemas.microsoft.com/office/spreadsheetml/2010/11/main" uri="{B97F6D7D-B522-45F9-BDA1-12C45D357490}">
          <x15:cacheHierarchy aggregatedColumn="12"/>
        </ext>
      </extLst>
    </cacheHierarchy>
    <cacheHierarchy uniqueName="[Measures].[Sum of Fibers]" caption="Sum of Fibers" measure="1" displayFolder="" measureGroup="80 CEREALS" count="0">
      <extLst>
        <ext xmlns:x15="http://schemas.microsoft.com/office/spreadsheetml/2010/11/main" uri="{B97F6D7D-B522-45F9-BDA1-12C45D357490}">
          <x15:cacheHierarchy aggregatedColumn="8"/>
        </ext>
      </extLst>
    </cacheHierarchy>
    <cacheHierarchy uniqueName="[Measures].[Full Rate]" caption="Full Rate" measure="1" displayFolder="" measureGroup="80 CEREALS" count="0"/>
    <cacheHierarchy uniqueName="[Measures].[__XL_Count 80 CEREALS]" caption="__XL_Count 80 CEREALS" measure="1" displayFolder="" measureGroup="80 CEREALS" count="0" hidden="1"/>
    <cacheHierarchy uniqueName="[Measures].[__XL_Count Nutrient Density]" caption="__XL_Count Nutrient Density" measure="1" displayFolder="" measureGroup="Nutrient Density" count="0" hidden="1"/>
    <cacheHierarchy uniqueName="[Measures].[__No measures defined]" caption="__No measures defined" measure="1" displayFolder="" count="0" hidden="1"/>
  </cacheHierarchies>
  <kpis count="0"/>
  <dimensions count="3">
    <dimension name="80 CEREALS" uniqueName="[80 CEREALS]" caption="80 CEREALS"/>
    <dimension measure="1" name="Measures" uniqueName="[Measures]" caption="Measures"/>
    <dimension name="Nutrient Density" uniqueName="[Nutrient Density]" caption="Nutrient Density"/>
  </dimensions>
  <measureGroups count="2">
    <measureGroup name="80 CEREALS" caption="80 CEREALS"/>
    <measureGroup name="Nutrient Density" caption="Nutrient Density"/>
  </measureGroups>
  <maps count="3">
    <map measureGroup="0" dimension="0"/>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77.989879629633" backgroundQuery="1" createdVersion="8" refreshedVersion="8" minRefreshableVersion="3" recordCount="0" supportSubquery="1" supportAdvancedDrill="1" xr:uid="{8C9A43C7-B65D-4469-8A01-CEB22FE461F2}">
  <cacheSource type="external" connectionId="5"/>
  <cacheFields count="14">
    <cacheField name="[Nutrient Density].[Cereal Name].[Cereal Name]" caption="Cereal Name" numFmtId="0" hierarchy="15" level="1">
      <sharedItems count="77">
        <s v="100% Bran"/>
        <s v="100% Natural Bran"/>
        <s v="All-Bran"/>
        <s v="All-Bran with Extra Fiber"/>
        <s v="Almond Delight"/>
        <s v="Apple Cinnamon Cheerios"/>
        <s v="Apple Jacks"/>
        <s v="Basic 4"/>
        <s v="Bran Chex"/>
        <s v="Bran Flakes"/>
        <s v="Cap'n'Crunch"/>
        <s v="Cheerios"/>
        <s v="Cinnamon Toast Crunch"/>
        <s v="Clusters"/>
        <s v="Cocoa Puffs"/>
        <s v="Corn Chex"/>
        <s v="Corn Flakes"/>
        <s v="Corn Pops"/>
        <s v="Count Chocula"/>
        <s v="Cracklin' Oat Bran"/>
        <s v="Cream of Wheat (Quick)"/>
        <s v="Crispix"/>
        <s v="Crispy Wheat &amp; Raisins"/>
        <s v="Double Chex"/>
        <s v="Froot Loops"/>
        <s v="Frosted Flakes"/>
        <s v="Frosted Mini-Wheats"/>
        <s v="Fruit &amp; Fibre Dates; Walnuts; and Oats"/>
        <s v="Fruitful Bran"/>
        <s v="Fruity Pebbles"/>
        <s v="Golden Crisp"/>
        <s v="Golden Grahams"/>
        <s v="Grape Nuts Flakes"/>
        <s v="Grape-Nuts"/>
        <s v="Great Grains Pecan"/>
        <s v="Honey Graham Ohs"/>
        <s v="Honey Nut Cheerios"/>
        <s v="Honey-comb"/>
        <s v="Just Right Crunchy  Nuggets"/>
        <s v="Just Right Fruit &amp; Nut"/>
        <s v="Kix"/>
        <s v="Life"/>
        <s v="Lucky Charms"/>
        <s v="Maypo"/>
        <s v="Muesli Raisins; Dates; &amp; Almonds"/>
        <s v="Muesli Raisins; Peaches; &amp; Pecans"/>
        <s v="Mueslix Crispy Blend"/>
        <s v="Multi-Grain Cheerios"/>
        <s v="Nut&amp;Honey Crunch"/>
        <s v="Nutri-Grain Almond-Raisin"/>
        <s v="Nutri-grain Wheat"/>
        <s v="Oatmeal Raisin Crisp"/>
        <s v="Post Nat. Raisin Bran"/>
        <s v="Product 19"/>
        <s v="Puffed Rice"/>
        <s v="Puffed Wheat"/>
        <s v="Quaker Oat Squares"/>
        <s v="Quaker Oatmeal"/>
        <s v="Raisin Bran"/>
        <s v="Raisin Nut Bran"/>
        <s v="Raisin Squares"/>
        <s v="Rice Chex"/>
        <s v="Rice Krispies"/>
        <s v="Shredded Wheat"/>
        <s v="Shredded Wheat 'n'Bran"/>
        <s v="Shredded Wheat spoon size"/>
        <s v="Smacks"/>
        <s v="Special K"/>
        <s v="Strawberry Fruit Wheats"/>
        <s v="Total Corn Flakes"/>
        <s v="Total Raisin Bran"/>
        <s v="Total Whole Grain"/>
        <s v="Triples"/>
        <s v="Trix"/>
        <s v="Wheat Chex"/>
        <s v="Wheaties"/>
        <s v="Wheaties Honey Gold"/>
      </sharedItems>
    </cacheField>
    <cacheField name="[Measures].[Sum of Rating]" caption="Sum of Rating" numFmtId="0" hierarchy="33" level="32767"/>
    <cacheField name="[80 CEREALS].[Manufacturer Of Cereal].[Manufacturer Of Cereal]" caption="Manufacturer Of Cereal" numFmtId="0" level="1">
      <sharedItems count="7">
        <s v="General Mills"/>
        <s v="Kelloggs"/>
        <s v="Nabisco"/>
        <s v="Post"/>
        <s v="Quaker Oats"/>
        <s v="Ralston Purina"/>
        <s v="American Home Food Products"/>
      </sharedItems>
    </cacheField>
    <cacheField name="[Measures].[Sum of Weight Of One Serving]" caption="Sum of Weight Of One Serving" numFmtId="0" hierarchy="39" level="32767"/>
    <cacheField name="[Measures].[Sum of Calories]" caption="Sum of Calories" numFmtId="0" hierarchy="31" level="32767"/>
    <cacheField name="[Measures].[Sum of Protein]" caption="Sum of Protein" numFmtId="0" hierarchy="40" level="32767"/>
    <cacheField name="[Measures].[Sum of Vitamins]" caption="Sum of Vitamins" numFmtId="0" hierarchy="41" level="32767"/>
    <cacheField name="[Measures].[Sum of Potassium]" caption="Sum of Potassium" numFmtId="0" hierarchy="32" level="32767"/>
    <cacheField name="[Measures].[Sum of Sugars]" caption="Sum of Sugars" numFmtId="0" hierarchy="42" level="32767"/>
    <cacheField name="[Measures].[Sum of Sodium]" caption="Sum of Sodium" numFmtId="0" hierarchy="43" level="32767"/>
    <cacheField name="[Measures].[Sum of Complex Carbohydrate]" caption="Sum of Complex Carbohydrate" numFmtId="0" hierarchy="44" level="32767"/>
    <cacheField name="[Measures].[Sum of Fats]" caption="Sum of Fats" numFmtId="0" hierarchy="45" level="32767"/>
    <cacheField name="[Measures].[Sum of Fibers]" caption="Sum of Fibers" numFmtId="0" hierarchy="46" level="32767"/>
    <cacheField name="[Nutrient Density].[Nutrient Density Category].[Nutrient Density Category]" caption="Nutrient Density Category" numFmtId="0" hierarchy="27" level="1">
      <sharedItems containsSemiMixedTypes="0" containsNonDate="0" containsString="0"/>
    </cacheField>
  </cacheFields>
  <cacheHierarchies count="51">
    <cacheHierarchy uniqueName="[80 CEREALS].[Manufacturer Of Cereal]" caption="Manufacturer Of Cereal" attribute="1" defaultMemberUniqueName="[80 CEREALS].[Manufacturer Of Cereal].[All]" allUniqueName="[80 CEREALS].[Manufacturer Of Cereal].[All]" dimensionUniqueName="[80 CEREALS]" displayFolder="" count="2" memberValueDatatype="130" unbalanced="0">
      <fieldsUsage count="2">
        <fieldUsage x="-1"/>
        <fieldUsage x="2"/>
      </fieldsUsage>
    </cacheHierarchy>
    <cacheHierarchy uniqueName="[80 CEREALS].[Cereal Name]" caption="Cereal Name" attribute="1" defaultMemberUniqueName="[80 CEREALS].[Cereal Name].[All]" allUniqueName="[80 CEREALS].[Cereal Name].[All]" dimensionUniqueName="[80 CEREALS]" displayFolder="" count="0" memberValueDatatype="130" unbalanced="0"/>
    <cacheHierarchy uniqueName="[80 CEREALS].[Type]" caption="Type" attribute="1" defaultMemberUniqueName="[80 CEREALS].[Type].[All]" allUniqueName="[80 CEREALS].[Type].[All]" dimensionUniqueName="[80 CEREALS]" displayFolder="" count="2" memberValueDatatype="130" unbalanced="0"/>
    <cacheHierarchy uniqueName="[80 CEREALS].[Rating]" caption="Rating" attribute="1" defaultMemberUniqueName="[80 CEREALS].[Rating].[All]" allUniqueName="[80 CEREALS].[Rating].[All]" dimensionUniqueName="[80 CEREALS]" displayFolder="" count="0" memberValueDatatype="20" unbalanced="0"/>
    <cacheHierarchy uniqueName="[80 CEREALS].[Shelf]" caption="Shelf" attribute="1" defaultMemberUniqueName="[80 CEREALS].[Shelf].[All]" allUniqueName="[80 CEREALS].[Shelf].[All]" dimensionUniqueName="[80 CEREALS]" displayFolder="" count="0" memberValueDatatype="20" unbalanced="0"/>
    <cacheHierarchy uniqueName="[80 CEREALS].[Weight Of One Serving]" caption="Weight Of One Serving" attribute="1" defaultMemberUniqueName="[80 CEREALS].[Weight Of One Serving].[All]" allUniqueName="[80 CEREALS].[Weight Of One Serving].[All]" dimensionUniqueName="[80 CEREALS]" displayFolder="" count="0" memberValueDatatype="20" unbalanced="0"/>
    <cacheHierarchy uniqueName="[80 CEREALS].[Calories]" caption="Calories" attribute="1" defaultMemberUniqueName="[80 CEREALS].[Calories].[All]" allUniqueName="[80 CEREALS].[Calories].[All]" dimensionUniqueName="[80 CEREALS]" displayFolder="" count="0" memberValueDatatype="20" unbalanced="0"/>
    <cacheHierarchy uniqueName="[80 CEREALS].[Protein]" caption="Protein" attribute="1" defaultMemberUniqueName="[80 CEREALS].[Protein].[All]" allUniqueName="[80 CEREALS].[Protein].[All]" dimensionUniqueName="[80 CEREALS]" displayFolder="" count="0" memberValueDatatype="20" unbalanced="0"/>
    <cacheHierarchy uniqueName="[80 CEREALS].[Fibers]" caption="Fibers" attribute="1" defaultMemberUniqueName="[80 CEREALS].[Fibers].[All]" allUniqueName="[80 CEREALS].[Fibers].[All]" dimensionUniqueName="[80 CEREALS]" displayFolder="" count="0" memberValueDatatype="5" unbalanced="0"/>
    <cacheHierarchy uniqueName="[80 CEREALS].[Vitamins]" caption="Vitamins" attribute="1" defaultMemberUniqueName="[80 CEREALS].[Vitamins].[All]" allUniqueName="[80 CEREALS].[Vitamins].[All]" dimensionUniqueName="[80 CEREALS]" displayFolder="" count="0" memberValueDatatype="20" unbalanced="0"/>
    <cacheHierarchy uniqueName="[80 CEREALS].[Potassium]" caption="Potassium" attribute="1" defaultMemberUniqueName="[80 CEREALS].[Potassium].[All]" allUniqueName="[80 CEREALS].[Potassium].[All]" dimensionUniqueName="[80 CEREALS]" displayFolder="" count="0" memberValueDatatype="5" unbalanced="0"/>
    <cacheHierarchy uniqueName="[80 CEREALS].[Complex Carbohydrate]" caption="Complex Carbohydrate" attribute="1" defaultMemberUniqueName="[80 CEREALS].[Complex Carbohydrate].[All]" allUniqueName="[80 CEREALS].[Complex Carbohydrate].[All]" dimensionUniqueName="[80 CEREALS]" displayFolder="" count="0" memberValueDatatype="5" unbalanced="0"/>
    <cacheHierarchy uniqueName="[80 CEREALS].[Fats]" caption="Fats" attribute="1" defaultMemberUniqueName="[80 CEREALS].[Fats].[All]" allUniqueName="[80 CEREALS].[Fats].[All]" dimensionUniqueName="[80 CEREALS]" displayFolder="" count="0" memberValueDatatype="20" unbalanced="0"/>
    <cacheHierarchy uniqueName="[80 CEREALS].[Sugars]" caption="Sugars" attribute="1" defaultMemberUniqueName="[80 CEREALS].[Sugars].[All]" allUniqueName="[80 CEREALS].[Sugars].[All]" dimensionUniqueName="[80 CEREALS]" displayFolder="" count="0" memberValueDatatype="20" unbalanced="0"/>
    <cacheHierarchy uniqueName="[80 CEREALS].[Sodium]" caption="Sodium" attribute="1" defaultMemberUniqueName="[80 CEREALS].[Sodium].[All]" allUniqueName="[80 CEREALS].[Sodium].[All]" dimensionUniqueName="[80 CEREALS]" displayFolder="" count="0" memberValueDatatype="5" unbalanced="0"/>
    <cacheHierarchy uniqueName="[Nutrient Density].[Cereal Name]" caption="Cereal Name" attribute="1" defaultMemberUniqueName="[Nutrient Density].[Cereal Name].[All]" allUniqueName="[Nutrient Density].[Cereal Name].[All]" dimensionUniqueName="[Nutrient Density]" displayFolder="" count="2" memberValueDatatype="130" unbalanced="0">
      <fieldsUsage count="2">
        <fieldUsage x="-1"/>
        <fieldUsage x="0"/>
      </fieldsUsage>
    </cacheHierarchy>
    <cacheHierarchy uniqueName="[Nutrient Density].[Weight Of One Serving]" caption="Weight Of One Serving" attribute="1" defaultMemberUniqueName="[Nutrient Density].[Weight Of One Serving].[All]" allUniqueName="[Nutrient Density].[Weight Of One Serving].[All]" dimensionUniqueName="[Nutrient Density]" displayFolder="" count="0" memberValueDatatype="20" unbalanced="0"/>
    <cacheHierarchy uniqueName="[Nutrient Density].[Calories]" caption="Calories" attribute="1" defaultMemberUniqueName="[Nutrient Density].[Calories].[All]" allUniqueName="[Nutrient Density].[Calories].[All]" dimensionUniqueName="[Nutrient Density]" displayFolder="" count="0" memberValueDatatype="20" unbalanced="0"/>
    <cacheHierarchy uniqueName="[Nutrient Density].[Vitamins]" caption="Vitamins" attribute="1" defaultMemberUniqueName="[Nutrient Density].[Vitamins].[All]" allUniqueName="[Nutrient Density].[Vitamins].[All]" dimensionUniqueName="[Nutrient Density]" displayFolder="" count="0" memberValueDatatype="20" unbalanced="0"/>
    <cacheHierarchy uniqueName="[Nutrient Density].[Protein Density]" caption="Protein Density" attribute="1" defaultMemberUniqueName="[Nutrient Density].[Protein Density].[All]" allUniqueName="[Nutrient Density].[Protein Density].[All]" dimensionUniqueName="[Nutrient Density]" displayFolder="" count="0" memberValueDatatype="5" unbalanced="0"/>
    <cacheHierarchy uniqueName="[Nutrient Density].[Fiber Density]" caption="Fiber Density" attribute="1" defaultMemberUniqueName="[Nutrient Density].[Fiber Density].[All]" allUniqueName="[Nutrient Density].[Fiber Density].[All]" dimensionUniqueName="[Nutrient Density]" displayFolder="" count="0" memberValueDatatype="5" unbalanced="0"/>
    <cacheHierarchy uniqueName="[Nutrient Density].[Sugar Density]" caption="Sugar Density" attribute="1" defaultMemberUniqueName="[Nutrient Density].[Sugar Density].[All]" allUniqueName="[Nutrient Density].[Sugar Density].[All]" dimensionUniqueName="[Nutrient Density]" displayFolder="" count="0" memberValueDatatype="5" unbalanced="0"/>
    <cacheHierarchy uniqueName="[Nutrient Density].[Potassium Density]" caption="Potassium Density" attribute="1" defaultMemberUniqueName="[Nutrient Density].[Potassium Density].[All]" allUniqueName="[Nutrient Density].[Potassium Density].[All]" dimensionUniqueName="[Nutrient Density]" displayFolder="" count="0" memberValueDatatype="5" unbalanced="0"/>
    <cacheHierarchy uniqueName="[Nutrient Density].[Complex Carbohydrate Density]" caption="Complex Carbohydrate Density" attribute="1" defaultMemberUniqueName="[Nutrient Density].[Complex Carbohydrate Density].[All]" allUniqueName="[Nutrient Density].[Complex Carbohydrate Density].[All]" dimensionUniqueName="[Nutrient Density]" displayFolder="" count="0" memberValueDatatype="5" unbalanced="0"/>
    <cacheHierarchy uniqueName="[Nutrient Density].[Fat Density]" caption="Fat Density" attribute="1" defaultMemberUniqueName="[Nutrient Density].[Fat Density].[All]" allUniqueName="[Nutrient Density].[Fat Density].[All]" dimensionUniqueName="[Nutrient Density]" displayFolder="" count="0" memberValueDatatype="5" unbalanced="0"/>
    <cacheHierarchy uniqueName="[Nutrient Density].[Sodium Density]" caption="Sodium Density" attribute="1" defaultMemberUniqueName="[Nutrient Density].[Sodium Density].[All]" allUniqueName="[Nutrient Density].[Sodium Density].[All]" dimensionUniqueName="[Nutrient Density]" displayFolder="" count="0" memberValueDatatype="5" unbalanced="0"/>
    <cacheHierarchy uniqueName="[Nutrient Density].[Nutrient Density Score]" caption="Nutrient Density Score" attribute="1" defaultMemberUniqueName="[Nutrient Density].[Nutrient Density Score].[All]" allUniqueName="[Nutrient Density].[Nutrient Density Score].[All]" dimensionUniqueName="[Nutrient Density]" displayFolder="" count="0" memberValueDatatype="5" unbalanced="0"/>
    <cacheHierarchy uniqueName="[Nutrient Density].[Nutrient Density Category]" caption="Nutrient Density Category" attribute="1" defaultMemberUniqueName="[Nutrient Density].[Nutrient Density Category].[All]" allUniqueName="[Nutrient Density].[Nutrient Density Category].[All]" dimensionUniqueName="[Nutrient Density]" displayFolder="" count="2" memberValueDatatype="130" unbalanced="0">
      <fieldsUsage count="2">
        <fieldUsage x="-1"/>
        <fieldUsage x="13"/>
      </fieldsUsage>
    </cacheHierarchy>
    <cacheHierarchy uniqueName="[Nutrient Density].[score]" caption="score" attribute="1" defaultMemberUniqueName="[Nutrient Density].[score].[All]" allUniqueName="[Nutrient Density].[score].[All]" dimensionUniqueName="[Nutrient Density]" displayFolder="" count="0" memberValueDatatype="20" unbalanced="0"/>
    <cacheHierarchy uniqueName="[Measures].[Count of Cereal Name]" caption="Count of Cereal Name" measure="1" displayFolder="" measureGroup="80 CEREALS" count="0">
      <extLst>
        <ext xmlns:x15="http://schemas.microsoft.com/office/spreadsheetml/2010/11/main" uri="{B97F6D7D-B522-45F9-BDA1-12C45D357490}">
          <x15:cacheHierarchy aggregatedColumn="1"/>
        </ext>
      </extLst>
    </cacheHierarchy>
    <cacheHierarchy uniqueName="[Measures].[Count of Cereal Name 2]" caption="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Calories]" caption="Sum of Calories" measure="1" displayFolder="" measureGroup="80 CEREALS" count="0" oneField="1">
      <fieldsUsage count="1">
        <fieldUsage x="4"/>
      </fieldsUsage>
      <extLst>
        <ext xmlns:x15="http://schemas.microsoft.com/office/spreadsheetml/2010/11/main" uri="{B97F6D7D-B522-45F9-BDA1-12C45D357490}">
          <x15:cacheHierarchy aggregatedColumn="6"/>
        </ext>
      </extLst>
    </cacheHierarchy>
    <cacheHierarchy uniqueName="[Measures].[Sum of Potassium]" caption="Sum of Potassium" measure="1" displayFolder="" measureGroup="80 CEREALS" count="0" oneField="1">
      <fieldsUsage count="1">
        <fieldUsage x="7"/>
      </fieldsUsage>
      <extLst>
        <ext xmlns:x15="http://schemas.microsoft.com/office/spreadsheetml/2010/11/main" uri="{B97F6D7D-B522-45F9-BDA1-12C45D357490}">
          <x15:cacheHierarchy aggregatedColumn="10"/>
        </ext>
      </extLst>
    </cacheHierarchy>
    <cacheHierarchy uniqueName="[Measures].[Sum of Rating]" caption="Sum of Rating" measure="1" displayFolder="" measureGroup="80 CEREALS" count="0" oneField="1">
      <fieldsUsage count="1">
        <fieldUsage x="1"/>
      </fieldsUsage>
      <extLst>
        <ext xmlns:x15="http://schemas.microsoft.com/office/spreadsheetml/2010/11/main" uri="{B97F6D7D-B522-45F9-BDA1-12C45D357490}">
          <x15:cacheHierarchy aggregatedColumn="3"/>
        </ext>
      </extLst>
    </cacheHierarchy>
    <cacheHierarchy uniqueName="[Measures].[Max of Rating]" caption="Max of Rating" measure="1" displayFolder="" measureGroup="80 CEREALS" count="0">
      <extLst>
        <ext xmlns:x15="http://schemas.microsoft.com/office/spreadsheetml/2010/11/main" uri="{B97F6D7D-B522-45F9-BDA1-12C45D357490}">
          <x15:cacheHierarchy aggregatedColumn="3"/>
        </ext>
      </extLst>
    </cacheHierarchy>
    <cacheHierarchy uniqueName="[Measures].[Count of Manufacturer Of Cereal]" caption="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Manufacturer Of Cereal]" caption="Distinct 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Cereal Name]" caption="Distinct Count of Cereal Name" measure="1" displayFolder="" measureGroup="80 CEREALS" count="0">
      <extLst>
        <ext xmlns:x15="http://schemas.microsoft.com/office/spreadsheetml/2010/11/main" uri="{B97F6D7D-B522-45F9-BDA1-12C45D357490}">
          <x15:cacheHierarchy aggregatedColumn="1"/>
        </ext>
      </extLst>
    </cacheHierarchy>
    <cacheHierarchy uniqueName="[Measures].[Distinct Count of Cereal Name 2]" caption="Distinct 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Weight Of One Serving]" caption="Sum of Weight Of One Serving" measure="1" displayFolder="" measureGroup="80 CEREALS" count="0" oneField="1">
      <fieldsUsage count="1">
        <fieldUsage x="3"/>
      </fieldsUsage>
      <extLst>
        <ext xmlns:x15="http://schemas.microsoft.com/office/spreadsheetml/2010/11/main" uri="{B97F6D7D-B522-45F9-BDA1-12C45D357490}">
          <x15:cacheHierarchy aggregatedColumn="5"/>
        </ext>
      </extLst>
    </cacheHierarchy>
    <cacheHierarchy uniqueName="[Measures].[Sum of Protein]" caption="Sum of Protein" measure="1" displayFolder="" measureGroup="80 CEREALS" count="0" oneField="1">
      <fieldsUsage count="1">
        <fieldUsage x="5"/>
      </fieldsUsage>
      <extLst>
        <ext xmlns:x15="http://schemas.microsoft.com/office/spreadsheetml/2010/11/main" uri="{B97F6D7D-B522-45F9-BDA1-12C45D357490}">
          <x15:cacheHierarchy aggregatedColumn="7"/>
        </ext>
      </extLst>
    </cacheHierarchy>
    <cacheHierarchy uniqueName="[Measures].[Sum of Vitamins]" caption="Sum of Vitamins" measure="1" displayFolder="" measureGroup="80 CEREALS" count="0" oneField="1">
      <fieldsUsage count="1">
        <fieldUsage x="6"/>
      </fieldsUsage>
      <extLst>
        <ext xmlns:x15="http://schemas.microsoft.com/office/spreadsheetml/2010/11/main" uri="{B97F6D7D-B522-45F9-BDA1-12C45D357490}">
          <x15:cacheHierarchy aggregatedColumn="9"/>
        </ext>
      </extLst>
    </cacheHierarchy>
    <cacheHierarchy uniqueName="[Measures].[Sum of Sugars]" caption="Sum of Sugars" measure="1" displayFolder="" measureGroup="80 CEREALS" count="0" oneField="1">
      <fieldsUsage count="1">
        <fieldUsage x="8"/>
      </fieldsUsage>
      <extLst>
        <ext xmlns:x15="http://schemas.microsoft.com/office/spreadsheetml/2010/11/main" uri="{B97F6D7D-B522-45F9-BDA1-12C45D357490}">
          <x15:cacheHierarchy aggregatedColumn="13"/>
        </ext>
      </extLst>
    </cacheHierarchy>
    <cacheHierarchy uniqueName="[Measures].[Sum of Sodium]" caption="Sum of Sodium" measure="1" displayFolder="" measureGroup="80 CEREALS" count="0" oneField="1">
      <fieldsUsage count="1">
        <fieldUsage x="9"/>
      </fieldsUsage>
      <extLst>
        <ext xmlns:x15="http://schemas.microsoft.com/office/spreadsheetml/2010/11/main" uri="{B97F6D7D-B522-45F9-BDA1-12C45D357490}">
          <x15:cacheHierarchy aggregatedColumn="14"/>
        </ext>
      </extLst>
    </cacheHierarchy>
    <cacheHierarchy uniqueName="[Measures].[Sum of Complex Carbohydrate]" caption="Sum of Complex Carbohydrate" measure="1" displayFolder="" measureGroup="80 CEREALS" count="0" oneField="1">
      <fieldsUsage count="1">
        <fieldUsage x="10"/>
      </fieldsUsage>
      <extLst>
        <ext xmlns:x15="http://schemas.microsoft.com/office/spreadsheetml/2010/11/main" uri="{B97F6D7D-B522-45F9-BDA1-12C45D357490}">
          <x15:cacheHierarchy aggregatedColumn="11"/>
        </ext>
      </extLst>
    </cacheHierarchy>
    <cacheHierarchy uniqueName="[Measures].[Sum of Fats]" caption="Sum of Fats" measure="1" displayFolder="" measureGroup="80 CEREALS" count="0" oneField="1">
      <fieldsUsage count="1">
        <fieldUsage x="11"/>
      </fieldsUsage>
      <extLst>
        <ext xmlns:x15="http://schemas.microsoft.com/office/spreadsheetml/2010/11/main" uri="{B97F6D7D-B522-45F9-BDA1-12C45D357490}">
          <x15:cacheHierarchy aggregatedColumn="12"/>
        </ext>
      </extLst>
    </cacheHierarchy>
    <cacheHierarchy uniqueName="[Measures].[Sum of Fibers]" caption="Sum of Fibers" measure="1" displayFolder="" measureGroup="80 CEREALS" count="0" oneField="1">
      <fieldsUsage count="1">
        <fieldUsage x="12"/>
      </fieldsUsage>
      <extLst>
        <ext xmlns:x15="http://schemas.microsoft.com/office/spreadsheetml/2010/11/main" uri="{B97F6D7D-B522-45F9-BDA1-12C45D357490}">
          <x15:cacheHierarchy aggregatedColumn="8"/>
        </ext>
      </extLst>
    </cacheHierarchy>
    <cacheHierarchy uniqueName="[Measures].[Full Rate]" caption="Full Rate" measure="1" displayFolder="" measureGroup="80 CEREALS" count="0"/>
    <cacheHierarchy uniqueName="[Measures].[__XL_Count 80 CEREALS]" caption="__XL_Count 80 CEREALS" measure="1" displayFolder="" measureGroup="80 CEREALS" count="0" hidden="1"/>
    <cacheHierarchy uniqueName="[Measures].[__XL_Count Nutrient Density]" caption="__XL_Count Nutrient Density" measure="1" displayFolder="" measureGroup="Nutrient Density" count="0" hidden="1"/>
    <cacheHierarchy uniqueName="[Measures].[__No measures defined]" caption="__No measures defined" measure="1" displayFolder="" count="0" hidden="1"/>
  </cacheHierarchies>
  <kpis count="0"/>
  <dimensions count="3">
    <dimension name="80 CEREALS" uniqueName="[80 CEREALS]" caption="80 CEREALS"/>
    <dimension measure="1" name="Measures" uniqueName="[Measures]" caption="Measures"/>
    <dimension name="Nutrient Density" uniqueName="[Nutrient Density]" caption="Nutrient Density"/>
  </dimensions>
  <measureGroups count="2">
    <measureGroup name="80 CEREALS" caption="80 CEREALS"/>
    <measureGroup name="Nutrient Density" caption="Nutrient Density"/>
  </measureGroups>
  <maps count="3">
    <map measureGroup="0" dimension="0"/>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77.989879976849" backgroundQuery="1" createdVersion="8" refreshedVersion="8" minRefreshableVersion="3" recordCount="0" supportSubquery="1" supportAdvancedDrill="1" xr:uid="{D1FE8596-1131-4BC4-A973-32D815AB51AC}">
  <cacheSource type="external" connectionId="5"/>
  <cacheFields count="3">
    <cacheField name="[Measures].[Distinct Count of Manufacturer Of Cereal]" caption="Distinct Count of Manufacturer Of Cereal" numFmtId="0" hierarchy="36" level="32767"/>
    <cacheField name="[Measures].[Distinct Count of Cereal Name]" caption="Distinct Count of Cereal Name" numFmtId="0" hierarchy="37" level="32767"/>
    <cacheField name="[Nutrient Density].[Nutrient Density Category].[Nutrient Density Category]" caption="Nutrient Density Category" numFmtId="0" hierarchy="27" level="1">
      <sharedItems containsSemiMixedTypes="0" containsNonDate="0" containsString="0"/>
    </cacheField>
  </cacheFields>
  <cacheHierarchies count="51">
    <cacheHierarchy uniqueName="[80 CEREALS].[Manufacturer Of Cereal]" caption="Manufacturer Of Cereal" attribute="1" defaultMemberUniqueName="[80 CEREALS].[Manufacturer Of Cereal].[All]" allUniqueName="[80 CEREALS].[Manufacturer Of Cereal].[All]" dimensionUniqueName="[80 CEREALS]" displayFolder="" count="2" memberValueDatatype="130" unbalanced="0"/>
    <cacheHierarchy uniqueName="[80 CEREALS].[Cereal Name]" caption="Cereal Name" attribute="1" defaultMemberUniqueName="[80 CEREALS].[Cereal Name].[All]" allUniqueName="[80 CEREALS].[Cereal Name].[All]" dimensionUniqueName="[80 CEREALS]" displayFolder="" count="0" memberValueDatatype="130" unbalanced="0"/>
    <cacheHierarchy uniqueName="[80 CEREALS].[Type]" caption="Type" attribute="1" defaultMemberUniqueName="[80 CEREALS].[Type].[All]" allUniqueName="[80 CEREALS].[Type].[All]" dimensionUniqueName="[80 CEREALS]" displayFolder="" count="2" memberValueDatatype="130" unbalanced="0"/>
    <cacheHierarchy uniqueName="[80 CEREALS].[Rating]" caption="Rating" attribute="1" defaultMemberUniqueName="[80 CEREALS].[Rating].[All]" allUniqueName="[80 CEREALS].[Rating].[All]" dimensionUniqueName="[80 CEREALS]" displayFolder="" count="0" memberValueDatatype="20" unbalanced="0"/>
    <cacheHierarchy uniqueName="[80 CEREALS].[Shelf]" caption="Shelf" attribute="1" defaultMemberUniqueName="[80 CEREALS].[Shelf].[All]" allUniqueName="[80 CEREALS].[Shelf].[All]" dimensionUniqueName="[80 CEREALS]" displayFolder="" count="0" memberValueDatatype="20" unbalanced="0"/>
    <cacheHierarchy uniqueName="[80 CEREALS].[Weight Of One Serving]" caption="Weight Of One Serving" attribute="1" defaultMemberUniqueName="[80 CEREALS].[Weight Of One Serving].[All]" allUniqueName="[80 CEREALS].[Weight Of One Serving].[All]" dimensionUniqueName="[80 CEREALS]" displayFolder="" count="0" memberValueDatatype="20" unbalanced="0"/>
    <cacheHierarchy uniqueName="[80 CEREALS].[Calories]" caption="Calories" attribute="1" defaultMemberUniqueName="[80 CEREALS].[Calories].[All]" allUniqueName="[80 CEREALS].[Calories].[All]" dimensionUniqueName="[80 CEREALS]" displayFolder="" count="0" memberValueDatatype="20" unbalanced="0"/>
    <cacheHierarchy uniqueName="[80 CEREALS].[Protein]" caption="Protein" attribute="1" defaultMemberUniqueName="[80 CEREALS].[Protein].[All]" allUniqueName="[80 CEREALS].[Protein].[All]" dimensionUniqueName="[80 CEREALS]" displayFolder="" count="0" memberValueDatatype="20" unbalanced="0"/>
    <cacheHierarchy uniqueName="[80 CEREALS].[Fibers]" caption="Fibers" attribute="1" defaultMemberUniqueName="[80 CEREALS].[Fibers].[All]" allUniqueName="[80 CEREALS].[Fibers].[All]" dimensionUniqueName="[80 CEREALS]" displayFolder="" count="0" memberValueDatatype="5" unbalanced="0"/>
    <cacheHierarchy uniqueName="[80 CEREALS].[Vitamins]" caption="Vitamins" attribute="1" defaultMemberUniqueName="[80 CEREALS].[Vitamins].[All]" allUniqueName="[80 CEREALS].[Vitamins].[All]" dimensionUniqueName="[80 CEREALS]" displayFolder="" count="0" memberValueDatatype="20" unbalanced="0"/>
    <cacheHierarchy uniqueName="[80 CEREALS].[Potassium]" caption="Potassium" attribute="1" defaultMemberUniqueName="[80 CEREALS].[Potassium].[All]" allUniqueName="[80 CEREALS].[Potassium].[All]" dimensionUniqueName="[80 CEREALS]" displayFolder="" count="0" memberValueDatatype="5" unbalanced="0"/>
    <cacheHierarchy uniqueName="[80 CEREALS].[Complex Carbohydrate]" caption="Complex Carbohydrate" attribute="1" defaultMemberUniqueName="[80 CEREALS].[Complex Carbohydrate].[All]" allUniqueName="[80 CEREALS].[Complex Carbohydrate].[All]" dimensionUniqueName="[80 CEREALS]" displayFolder="" count="0" memberValueDatatype="5" unbalanced="0"/>
    <cacheHierarchy uniqueName="[80 CEREALS].[Fats]" caption="Fats" attribute="1" defaultMemberUniqueName="[80 CEREALS].[Fats].[All]" allUniqueName="[80 CEREALS].[Fats].[All]" dimensionUniqueName="[80 CEREALS]" displayFolder="" count="0" memberValueDatatype="20" unbalanced="0"/>
    <cacheHierarchy uniqueName="[80 CEREALS].[Sugars]" caption="Sugars" attribute="1" defaultMemberUniqueName="[80 CEREALS].[Sugars].[All]" allUniqueName="[80 CEREALS].[Sugars].[All]" dimensionUniqueName="[80 CEREALS]" displayFolder="" count="0" memberValueDatatype="20" unbalanced="0"/>
    <cacheHierarchy uniqueName="[80 CEREALS].[Sodium]" caption="Sodium" attribute="1" defaultMemberUniqueName="[80 CEREALS].[Sodium].[All]" allUniqueName="[80 CEREALS].[Sodium].[All]" dimensionUniqueName="[80 CEREALS]" displayFolder="" count="0" memberValueDatatype="5" unbalanced="0"/>
    <cacheHierarchy uniqueName="[Nutrient Density].[Cereal Name]" caption="Cereal Name" attribute="1" defaultMemberUniqueName="[Nutrient Density].[Cereal Name].[All]" allUniqueName="[Nutrient Density].[Cereal Name].[All]" dimensionUniqueName="[Nutrient Density]" displayFolder="" count="0" memberValueDatatype="130" unbalanced="0"/>
    <cacheHierarchy uniqueName="[Nutrient Density].[Weight Of One Serving]" caption="Weight Of One Serving" attribute="1" defaultMemberUniqueName="[Nutrient Density].[Weight Of One Serving].[All]" allUniqueName="[Nutrient Density].[Weight Of One Serving].[All]" dimensionUniqueName="[Nutrient Density]" displayFolder="" count="0" memberValueDatatype="20" unbalanced="0"/>
    <cacheHierarchy uniqueName="[Nutrient Density].[Calories]" caption="Calories" attribute="1" defaultMemberUniqueName="[Nutrient Density].[Calories].[All]" allUniqueName="[Nutrient Density].[Calories].[All]" dimensionUniqueName="[Nutrient Density]" displayFolder="" count="0" memberValueDatatype="20" unbalanced="0"/>
    <cacheHierarchy uniqueName="[Nutrient Density].[Vitamins]" caption="Vitamins" attribute="1" defaultMemberUniqueName="[Nutrient Density].[Vitamins].[All]" allUniqueName="[Nutrient Density].[Vitamins].[All]" dimensionUniqueName="[Nutrient Density]" displayFolder="" count="0" memberValueDatatype="20" unbalanced="0"/>
    <cacheHierarchy uniqueName="[Nutrient Density].[Protein Density]" caption="Protein Density" attribute="1" defaultMemberUniqueName="[Nutrient Density].[Protein Density].[All]" allUniqueName="[Nutrient Density].[Protein Density].[All]" dimensionUniqueName="[Nutrient Density]" displayFolder="" count="0" memberValueDatatype="5" unbalanced="0"/>
    <cacheHierarchy uniqueName="[Nutrient Density].[Fiber Density]" caption="Fiber Density" attribute="1" defaultMemberUniqueName="[Nutrient Density].[Fiber Density].[All]" allUniqueName="[Nutrient Density].[Fiber Density].[All]" dimensionUniqueName="[Nutrient Density]" displayFolder="" count="0" memberValueDatatype="5" unbalanced="0"/>
    <cacheHierarchy uniqueName="[Nutrient Density].[Sugar Density]" caption="Sugar Density" attribute="1" defaultMemberUniqueName="[Nutrient Density].[Sugar Density].[All]" allUniqueName="[Nutrient Density].[Sugar Density].[All]" dimensionUniqueName="[Nutrient Density]" displayFolder="" count="0" memberValueDatatype="5" unbalanced="0"/>
    <cacheHierarchy uniqueName="[Nutrient Density].[Potassium Density]" caption="Potassium Density" attribute="1" defaultMemberUniqueName="[Nutrient Density].[Potassium Density].[All]" allUniqueName="[Nutrient Density].[Potassium Density].[All]" dimensionUniqueName="[Nutrient Density]" displayFolder="" count="0" memberValueDatatype="5" unbalanced="0"/>
    <cacheHierarchy uniqueName="[Nutrient Density].[Complex Carbohydrate Density]" caption="Complex Carbohydrate Density" attribute="1" defaultMemberUniqueName="[Nutrient Density].[Complex Carbohydrate Density].[All]" allUniqueName="[Nutrient Density].[Complex Carbohydrate Density].[All]" dimensionUniqueName="[Nutrient Density]" displayFolder="" count="0" memberValueDatatype="5" unbalanced="0"/>
    <cacheHierarchy uniqueName="[Nutrient Density].[Fat Density]" caption="Fat Density" attribute="1" defaultMemberUniqueName="[Nutrient Density].[Fat Density].[All]" allUniqueName="[Nutrient Density].[Fat Density].[All]" dimensionUniqueName="[Nutrient Density]" displayFolder="" count="0" memberValueDatatype="5" unbalanced="0"/>
    <cacheHierarchy uniqueName="[Nutrient Density].[Sodium Density]" caption="Sodium Density" attribute="1" defaultMemberUniqueName="[Nutrient Density].[Sodium Density].[All]" allUniqueName="[Nutrient Density].[Sodium Density].[All]" dimensionUniqueName="[Nutrient Density]" displayFolder="" count="0" memberValueDatatype="5" unbalanced="0"/>
    <cacheHierarchy uniqueName="[Nutrient Density].[Nutrient Density Score]" caption="Nutrient Density Score" attribute="1" defaultMemberUniqueName="[Nutrient Density].[Nutrient Density Score].[All]" allUniqueName="[Nutrient Density].[Nutrient Density Score].[All]" dimensionUniqueName="[Nutrient Density]" displayFolder="" count="0" memberValueDatatype="5" unbalanced="0"/>
    <cacheHierarchy uniqueName="[Nutrient Density].[Nutrient Density Category]" caption="Nutrient Density Category" attribute="1" defaultMemberUniqueName="[Nutrient Density].[Nutrient Density Category].[All]" allUniqueName="[Nutrient Density].[Nutrient Density Category].[All]" dimensionUniqueName="[Nutrient Density]" displayFolder="" count="2" memberValueDatatype="130" unbalanced="0">
      <fieldsUsage count="2">
        <fieldUsage x="-1"/>
        <fieldUsage x="2"/>
      </fieldsUsage>
    </cacheHierarchy>
    <cacheHierarchy uniqueName="[Nutrient Density].[score]" caption="score" attribute="1" defaultMemberUniqueName="[Nutrient Density].[score].[All]" allUniqueName="[Nutrient Density].[score].[All]" dimensionUniqueName="[Nutrient Density]" displayFolder="" count="0" memberValueDatatype="20" unbalanced="0"/>
    <cacheHierarchy uniqueName="[Measures].[Count of Cereal Name]" caption="Count of Cereal Name" measure="1" displayFolder="" measureGroup="80 CEREALS" count="0">
      <extLst>
        <ext xmlns:x15="http://schemas.microsoft.com/office/spreadsheetml/2010/11/main" uri="{B97F6D7D-B522-45F9-BDA1-12C45D357490}">
          <x15:cacheHierarchy aggregatedColumn="1"/>
        </ext>
      </extLst>
    </cacheHierarchy>
    <cacheHierarchy uniqueName="[Measures].[Count of Cereal Name 2]" caption="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Calories]" caption="Sum of Calories" measure="1" displayFolder="" measureGroup="80 CEREALS" count="0">
      <extLst>
        <ext xmlns:x15="http://schemas.microsoft.com/office/spreadsheetml/2010/11/main" uri="{B97F6D7D-B522-45F9-BDA1-12C45D357490}">
          <x15:cacheHierarchy aggregatedColumn="6"/>
        </ext>
      </extLst>
    </cacheHierarchy>
    <cacheHierarchy uniqueName="[Measures].[Sum of Potassium]" caption="Sum of Potassium" measure="1" displayFolder="" measureGroup="80 CEREALS" count="0">
      <extLst>
        <ext xmlns:x15="http://schemas.microsoft.com/office/spreadsheetml/2010/11/main" uri="{B97F6D7D-B522-45F9-BDA1-12C45D357490}">
          <x15:cacheHierarchy aggregatedColumn="10"/>
        </ext>
      </extLst>
    </cacheHierarchy>
    <cacheHierarchy uniqueName="[Measures].[Sum of Rating]" caption="Sum of Rating" measure="1" displayFolder="" measureGroup="80 CEREALS" count="0">
      <extLst>
        <ext xmlns:x15="http://schemas.microsoft.com/office/spreadsheetml/2010/11/main" uri="{B97F6D7D-B522-45F9-BDA1-12C45D357490}">
          <x15:cacheHierarchy aggregatedColumn="3"/>
        </ext>
      </extLst>
    </cacheHierarchy>
    <cacheHierarchy uniqueName="[Measures].[Max of Rating]" caption="Max of Rating" measure="1" displayFolder="" measureGroup="80 CEREALS" count="0">
      <extLst>
        <ext xmlns:x15="http://schemas.microsoft.com/office/spreadsheetml/2010/11/main" uri="{B97F6D7D-B522-45F9-BDA1-12C45D357490}">
          <x15:cacheHierarchy aggregatedColumn="3"/>
        </ext>
      </extLst>
    </cacheHierarchy>
    <cacheHierarchy uniqueName="[Measures].[Count of Manufacturer Of Cereal]" caption="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Manufacturer Of Cereal]" caption="Distinct Count of Manufacturer Of Cereal" measure="1" displayFolder="" measureGroup="80 CEREALS" count="0" oneField="1">
      <fieldsUsage count="1">
        <fieldUsage x="0"/>
      </fieldsUsage>
      <extLst>
        <ext xmlns:x15="http://schemas.microsoft.com/office/spreadsheetml/2010/11/main" uri="{B97F6D7D-B522-45F9-BDA1-12C45D357490}">
          <x15:cacheHierarchy aggregatedColumn="0"/>
        </ext>
      </extLst>
    </cacheHierarchy>
    <cacheHierarchy uniqueName="[Measures].[Distinct Count of Cereal Name]" caption="Distinct Count of Cereal Name" measure="1" displayFolder="" measureGroup="80 CEREALS" count="0" oneField="1">
      <fieldsUsage count="1">
        <fieldUsage x="1"/>
      </fieldsUsage>
      <extLst>
        <ext xmlns:x15="http://schemas.microsoft.com/office/spreadsheetml/2010/11/main" uri="{B97F6D7D-B522-45F9-BDA1-12C45D357490}">
          <x15:cacheHierarchy aggregatedColumn="1"/>
        </ext>
      </extLst>
    </cacheHierarchy>
    <cacheHierarchy uniqueName="[Measures].[Distinct Count of Cereal Name 2]" caption="Distinct 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Weight Of One Serving]" caption="Sum of Weight Of One Serving" measure="1" displayFolder="" measureGroup="80 CEREALS" count="0">
      <extLst>
        <ext xmlns:x15="http://schemas.microsoft.com/office/spreadsheetml/2010/11/main" uri="{B97F6D7D-B522-45F9-BDA1-12C45D357490}">
          <x15:cacheHierarchy aggregatedColumn="5"/>
        </ext>
      </extLst>
    </cacheHierarchy>
    <cacheHierarchy uniqueName="[Measures].[Sum of Protein]" caption="Sum of Protein" measure="1" displayFolder="" measureGroup="80 CEREALS" count="0">
      <extLst>
        <ext xmlns:x15="http://schemas.microsoft.com/office/spreadsheetml/2010/11/main" uri="{B97F6D7D-B522-45F9-BDA1-12C45D357490}">
          <x15:cacheHierarchy aggregatedColumn="7"/>
        </ext>
      </extLst>
    </cacheHierarchy>
    <cacheHierarchy uniqueName="[Measures].[Sum of Vitamins]" caption="Sum of Vitamins" measure="1" displayFolder="" measureGroup="80 CEREALS" count="0">
      <extLst>
        <ext xmlns:x15="http://schemas.microsoft.com/office/spreadsheetml/2010/11/main" uri="{B97F6D7D-B522-45F9-BDA1-12C45D357490}">
          <x15:cacheHierarchy aggregatedColumn="9"/>
        </ext>
      </extLst>
    </cacheHierarchy>
    <cacheHierarchy uniqueName="[Measures].[Sum of Sugars]" caption="Sum of Sugars" measure="1" displayFolder="" measureGroup="80 CEREALS" count="0">
      <extLst>
        <ext xmlns:x15="http://schemas.microsoft.com/office/spreadsheetml/2010/11/main" uri="{B97F6D7D-B522-45F9-BDA1-12C45D357490}">
          <x15:cacheHierarchy aggregatedColumn="13"/>
        </ext>
      </extLst>
    </cacheHierarchy>
    <cacheHierarchy uniqueName="[Measures].[Sum of Sodium]" caption="Sum of Sodium" measure="1" displayFolder="" measureGroup="80 CEREALS" count="0">
      <extLst>
        <ext xmlns:x15="http://schemas.microsoft.com/office/spreadsheetml/2010/11/main" uri="{B97F6D7D-B522-45F9-BDA1-12C45D357490}">
          <x15:cacheHierarchy aggregatedColumn="14"/>
        </ext>
      </extLst>
    </cacheHierarchy>
    <cacheHierarchy uniqueName="[Measures].[Sum of Complex Carbohydrate]" caption="Sum of Complex Carbohydrate" measure="1" displayFolder="" measureGroup="80 CEREALS" count="0">
      <extLst>
        <ext xmlns:x15="http://schemas.microsoft.com/office/spreadsheetml/2010/11/main" uri="{B97F6D7D-B522-45F9-BDA1-12C45D357490}">
          <x15:cacheHierarchy aggregatedColumn="11"/>
        </ext>
      </extLst>
    </cacheHierarchy>
    <cacheHierarchy uniqueName="[Measures].[Sum of Fats]" caption="Sum of Fats" measure="1" displayFolder="" measureGroup="80 CEREALS" count="0">
      <extLst>
        <ext xmlns:x15="http://schemas.microsoft.com/office/spreadsheetml/2010/11/main" uri="{B97F6D7D-B522-45F9-BDA1-12C45D357490}">
          <x15:cacheHierarchy aggregatedColumn="12"/>
        </ext>
      </extLst>
    </cacheHierarchy>
    <cacheHierarchy uniqueName="[Measures].[Sum of Fibers]" caption="Sum of Fibers" measure="1" displayFolder="" measureGroup="80 CEREALS" count="0">
      <extLst>
        <ext xmlns:x15="http://schemas.microsoft.com/office/spreadsheetml/2010/11/main" uri="{B97F6D7D-B522-45F9-BDA1-12C45D357490}">
          <x15:cacheHierarchy aggregatedColumn="8"/>
        </ext>
      </extLst>
    </cacheHierarchy>
    <cacheHierarchy uniqueName="[Measures].[Full Rate]" caption="Full Rate" measure="1" displayFolder="" measureGroup="80 CEREALS" count="0"/>
    <cacheHierarchy uniqueName="[Measures].[__XL_Count 80 CEREALS]" caption="__XL_Count 80 CEREALS" measure="1" displayFolder="" measureGroup="80 CEREALS" count="0" hidden="1"/>
    <cacheHierarchy uniqueName="[Measures].[__XL_Count Nutrient Density]" caption="__XL_Count Nutrient Density" measure="1" displayFolder="" measureGroup="Nutrient Density" count="0" hidden="1"/>
    <cacheHierarchy uniqueName="[Measures].[__No measures defined]" caption="__No measures defined" measure="1" displayFolder="" count="0" hidden="1"/>
  </cacheHierarchies>
  <kpis count="0"/>
  <dimensions count="3">
    <dimension name="80 CEREALS" uniqueName="[80 CEREALS]" caption="80 CEREALS"/>
    <dimension measure="1" name="Measures" uniqueName="[Measures]" caption="Measures"/>
    <dimension name="Nutrient Density" uniqueName="[Nutrient Density]" caption="Nutrient Density"/>
  </dimensions>
  <measureGroups count="2">
    <measureGroup name="80 CEREALS" caption="80 CEREALS"/>
    <measureGroup name="Nutrient Density" caption="Nutrient Density"/>
  </measureGroups>
  <maps count="3">
    <map measureGroup="0" dimension="0"/>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77.676570138887" backgroundQuery="1" createdVersion="3" refreshedVersion="8" minRefreshableVersion="3" recordCount="0" supportSubquery="1" supportAdvancedDrill="1" xr:uid="{E269947E-9EFD-44EA-AA62-7FD5FF3C569A}">
  <cacheSource type="external" connectionId="5">
    <extLst>
      <ext xmlns:x14="http://schemas.microsoft.com/office/spreadsheetml/2009/9/main" uri="{F057638F-6D5F-4e77-A914-E7F072B9BCA8}">
        <x14:sourceConnection name="ThisWorkbookDataModel"/>
      </ext>
    </extLst>
  </cacheSource>
  <cacheFields count="0"/>
  <cacheHierarchies count="51">
    <cacheHierarchy uniqueName="[80 CEREALS].[Manufacturer Of Cereal]" caption="Manufacturer Of Cereal" attribute="1" defaultMemberUniqueName="[80 CEREALS].[Manufacturer Of Cereal].[All]" allUniqueName="[80 CEREALS].[Manufacturer Of Cereal].[All]" dimensionUniqueName="[80 CEREALS]" displayFolder="" count="2" memberValueDatatype="130" unbalanced="0"/>
    <cacheHierarchy uniqueName="[80 CEREALS].[Cereal Name]" caption="Cereal Name" attribute="1" defaultMemberUniqueName="[80 CEREALS].[Cereal Name].[All]" allUniqueName="[80 CEREALS].[Cereal Name].[All]" dimensionUniqueName="[80 CEREALS]" displayFolder="" count="0" memberValueDatatype="130" unbalanced="0"/>
    <cacheHierarchy uniqueName="[80 CEREALS].[Type]" caption="Type" attribute="1" defaultMemberUniqueName="[80 CEREALS].[Type].[All]" allUniqueName="[80 CEREALS].[Type].[All]" dimensionUniqueName="[80 CEREALS]" displayFolder="" count="2" memberValueDatatype="130" unbalanced="0"/>
    <cacheHierarchy uniqueName="[80 CEREALS].[Rating]" caption="Rating" attribute="1" defaultMemberUniqueName="[80 CEREALS].[Rating].[All]" allUniqueName="[80 CEREALS].[Rating].[All]" dimensionUniqueName="[80 CEREALS]" displayFolder="" count="0" memberValueDatatype="20" unbalanced="0"/>
    <cacheHierarchy uniqueName="[80 CEREALS].[Shelf]" caption="Shelf" attribute="1" defaultMemberUniqueName="[80 CEREALS].[Shelf].[All]" allUniqueName="[80 CEREALS].[Shelf].[All]" dimensionUniqueName="[80 CEREALS]" displayFolder="" count="0" memberValueDatatype="20" unbalanced="0"/>
    <cacheHierarchy uniqueName="[80 CEREALS].[Weight Of One Serving]" caption="Weight Of One Serving" attribute="1" defaultMemberUniqueName="[80 CEREALS].[Weight Of One Serving].[All]" allUniqueName="[80 CEREALS].[Weight Of One Serving].[All]" dimensionUniqueName="[80 CEREALS]" displayFolder="" count="0" memberValueDatatype="20" unbalanced="0"/>
    <cacheHierarchy uniqueName="[80 CEREALS].[Calories]" caption="Calories" attribute="1" defaultMemberUniqueName="[80 CEREALS].[Calories].[All]" allUniqueName="[80 CEREALS].[Calories].[All]" dimensionUniqueName="[80 CEREALS]" displayFolder="" count="0" memberValueDatatype="20" unbalanced="0"/>
    <cacheHierarchy uniqueName="[80 CEREALS].[Protein]" caption="Protein" attribute="1" defaultMemberUniqueName="[80 CEREALS].[Protein].[All]" allUniqueName="[80 CEREALS].[Protein].[All]" dimensionUniqueName="[80 CEREALS]" displayFolder="" count="0" memberValueDatatype="20" unbalanced="0"/>
    <cacheHierarchy uniqueName="[80 CEREALS].[Fibers]" caption="Fibers" attribute="1" defaultMemberUniqueName="[80 CEREALS].[Fibers].[All]" allUniqueName="[80 CEREALS].[Fibers].[All]" dimensionUniqueName="[80 CEREALS]" displayFolder="" count="0" memberValueDatatype="5" unbalanced="0"/>
    <cacheHierarchy uniqueName="[80 CEREALS].[Vitamins]" caption="Vitamins" attribute="1" defaultMemberUniqueName="[80 CEREALS].[Vitamins].[All]" allUniqueName="[80 CEREALS].[Vitamins].[All]" dimensionUniqueName="[80 CEREALS]" displayFolder="" count="0" memberValueDatatype="20" unbalanced="0"/>
    <cacheHierarchy uniqueName="[80 CEREALS].[Potassium]" caption="Potassium" attribute="1" defaultMemberUniqueName="[80 CEREALS].[Potassium].[All]" allUniqueName="[80 CEREALS].[Potassium].[All]" dimensionUniqueName="[80 CEREALS]" displayFolder="" count="0" memberValueDatatype="5" unbalanced="0"/>
    <cacheHierarchy uniqueName="[80 CEREALS].[Complex Carbohydrate]" caption="Complex Carbohydrate" attribute="1" defaultMemberUniqueName="[80 CEREALS].[Complex Carbohydrate].[All]" allUniqueName="[80 CEREALS].[Complex Carbohydrate].[All]" dimensionUniqueName="[80 CEREALS]" displayFolder="" count="0" memberValueDatatype="5" unbalanced="0"/>
    <cacheHierarchy uniqueName="[80 CEREALS].[Fats]" caption="Fats" attribute="1" defaultMemberUniqueName="[80 CEREALS].[Fats].[All]" allUniqueName="[80 CEREALS].[Fats].[All]" dimensionUniqueName="[80 CEREALS]" displayFolder="" count="0" memberValueDatatype="20" unbalanced="0"/>
    <cacheHierarchy uniqueName="[80 CEREALS].[Sugars]" caption="Sugars" attribute="1" defaultMemberUniqueName="[80 CEREALS].[Sugars].[All]" allUniqueName="[80 CEREALS].[Sugars].[All]" dimensionUniqueName="[80 CEREALS]" displayFolder="" count="0" memberValueDatatype="20" unbalanced="0"/>
    <cacheHierarchy uniqueName="[80 CEREALS].[Sodium]" caption="Sodium" attribute="1" defaultMemberUniqueName="[80 CEREALS].[Sodium].[All]" allUniqueName="[80 CEREALS].[Sodium].[All]" dimensionUniqueName="[80 CEREALS]" displayFolder="" count="0" memberValueDatatype="5" unbalanced="0"/>
    <cacheHierarchy uniqueName="[Nutrient Density].[Cereal Name]" caption="Cereal Name" attribute="1" defaultMemberUniqueName="[Nutrient Density].[Cereal Name].[All]" allUniqueName="[Nutrient Density].[Cereal Name].[All]" dimensionUniqueName="[Nutrient Density]" displayFolder="" count="0" memberValueDatatype="130" unbalanced="0"/>
    <cacheHierarchy uniqueName="[Nutrient Density].[Weight Of One Serving]" caption="Weight Of One Serving" attribute="1" defaultMemberUniqueName="[Nutrient Density].[Weight Of One Serving].[All]" allUniqueName="[Nutrient Density].[Weight Of One Serving].[All]" dimensionUniqueName="[Nutrient Density]" displayFolder="" count="0" memberValueDatatype="20" unbalanced="0"/>
    <cacheHierarchy uniqueName="[Nutrient Density].[Calories]" caption="Calories" attribute="1" defaultMemberUniqueName="[Nutrient Density].[Calories].[All]" allUniqueName="[Nutrient Density].[Calories].[All]" dimensionUniqueName="[Nutrient Density]" displayFolder="" count="0" memberValueDatatype="20" unbalanced="0"/>
    <cacheHierarchy uniqueName="[Nutrient Density].[Vitamins]" caption="Vitamins" attribute="1" defaultMemberUniqueName="[Nutrient Density].[Vitamins].[All]" allUniqueName="[Nutrient Density].[Vitamins].[All]" dimensionUniqueName="[Nutrient Density]" displayFolder="" count="0" memberValueDatatype="20" unbalanced="0"/>
    <cacheHierarchy uniqueName="[Nutrient Density].[Protein Density]" caption="Protein Density" attribute="1" defaultMemberUniqueName="[Nutrient Density].[Protein Density].[All]" allUniqueName="[Nutrient Density].[Protein Density].[All]" dimensionUniqueName="[Nutrient Density]" displayFolder="" count="0" memberValueDatatype="5" unbalanced="0"/>
    <cacheHierarchy uniqueName="[Nutrient Density].[Fiber Density]" caption="Fiber Density" attribute="1" defaultMemberUniqueName="[Nutrient Density].[Fiber Density].[All]" allUniqueName="[Nutrient Density].[Fiber Density].[All]" dimensionUniqueName="[Nutrient Density]" displayFolder="" count="0" memberValueDatatype="5" unbalanced="0"/>
    <cacheHierarchy uniqueName="[Nutrient Density].[Sugar Density]" caption="Sugar Density" attribute="1" defaultMemberUniqueName="[Nutrient Density].[Sugar Density].[All]" allUniqueName="[Nutrient Density].[Sugar Density].[All]" dimensionUniqueName="[Nutrient Density]" displayFolder="" count="0" memberValueDatatype="5" unbalanced="0"/>
    <cacheHierarchy uniqueName="[Nutrient Density].[Potassium Density]" caption="Potassium Density" attribute="1" defaultMemberUniqueName="[Nutrient Density].[Potassium Density].[All]" allUniqueName="[Nutrient Density].[Potassium Density].[All]" dimensionUniqueName="[Nutrient Density]" displayFolder="" count="0" memberValueDatatype="5" unbalanced="0"/>
    <cacheHierarchy uniqueName="[Nutrient Density].[Complex Carbohydrate Density]" caption="Complex Carbohydrate Density" attribute="1" defaultMemberUniqueName="[Nutrient Density].[Complex Carbohydrate Density].[All]" allUniqueName="[Nutrient Density].[Complex Carbohydrate Density].[All]" dimensionUniqueName="[Nutrient Density]" displayFolder="" count="0" memberValueDatatype="5" unbalanced="0"/>
    <cacheHierarchy uniqueName="[Nutrient Density].[Fat Density]" caption="Fat Density" attribute="1" defaultMemberUniqueName="[Nutrient Density].[Fat Density].[All]" allUniqueName="[Nutrient Density].[Fat Density].[All]" dimensionUniqueName="[Nutrient Density]" displayFolder="" count="0" memberValueDatatype="5" unbalanced="0"/>
    <cacheHierarchy uniqueName="[Nutrient Density].[Sodium Density]" caption="Sodium Density" attribute="1" defaultMemberUniqueName="[Nutrient Density].[Sodium Density].[All]" allUniqueName="[Nutrient Density].[Sodium Density].[All]" dimensionUniqueName="[Nutrient Density]" displayFolder="" count="0" memberValueDatatype="5" unbalanced="0"/>
    <cacheHierarchy uniqueName="[Nutrient Density].[Nutrient Density Score]" caption="Nutrient Density Score" attribute="1" defaultMemberUniqueName="[Nutrient Density].[Nutrient Density Score].[All]" allUniqueName="[Nutrient Density].[Nutrient Density Score].[All]" dimensionUniqueName="[Nutrient Density]" displayFolder="" count="0" memberValueDatatype="5" unbalanced="0"/>
    <cacheHierarchy uniqueName="[Nutrient Density].[Nutrient Density Category]" caption="Nutrient Density Category" attribute="1" defaultMemberUniqueName="[Nutrient Density].[Nutrient Density Category].[All]" allUniqueName="[Nutrient Density].[Nutrient Density Category].[All]" dimensionUniqueName="[Nutrient Density]" displayFolder="" count="2" memberValueDatatype="130" unbalanced="0"/>
    <cacheHierarchy uniqueName="[Nutrient Density].[score]" caption="score" attribute="1" defaultMemberUniqueName="[Nutrient Density].[score].[All]" allUniqueName="[Nutrient Density].[score].[All]" dimensionUniqueName="[Nutrient Density]" displayFolder="" count="0" memberValueDatatype="20" unbalanced="0"/>
    <cacheHierarchy uniqueName="[Measures].[Count of Cereal Name]" caption="Count of Cereal Name" measure="1" displayFolder="" measureGroup="80 CEREALS" count="0">
      <extLst>
        <ext xmlns:x15="http://schemas.microsoft.com/office/spreadsheetml/2010/11/main" uri="{B97F6D7D-B522-45F9-BDA1-12C45D357490}">
          <x15:cacheHierarchy aggregatedColumn="1"/>
        </ext>
      </extLst>
    </cacheHierarchy>
    <cacheHierarchy uniqueName="[Measures].[Count of Cereal Name 2]" caption="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Calories]" caption="Sum of Calories" measure="1" displayFolder="" measureGroup="80 CEREALS" count="0">
      <extLst>
        <ext xmlns:x15="http://schemas.microsoft.com/office/spreadsheetml/2010/11/main" uri="{B97F6D7D-B522-45F9-BDA1-12C45D357490}">
          <x15:cacheHierarchy aggregatedColumn="6"/>
        </ext>
      </extLst>
    </cacheHierarchy>
    <cacheHierarchy uniqueName="[Measures].[Sum of Potassium]" caption="Sum of Potassium" measure="1" displayFolder="" measureGroup="80 CEREALS" count="0">
      <extLst>
        <ext xmlns:x15="http://schemas.microsoft.com/office/spreadsheetml/2010/11/main" uri="{B97F6D7D-B522-45F9-BDA1-12C45D357490}">
          <x15:cacheHierarchy aggregatedColumn="10"/>
        </ext>
      </extLst>
    </cacheHierarchy>
    <cacheHierarchy uniqueName="[Measures].[Sum of Rating]" caption="Sum of Rating" measure="1" displayFolder="" measureGroup="80 CEREALS" count="0">
      <extLst>
        <ext xmlns:x15="http://schemas.microsoft.com/office/spreadsheetml/2010/11/main" uri="{B97F6D7D-B522-45F9-BDA1-12C45D357490}">
          <x15:cacheHierarchy aggregatedColumn="3"/>
        </ext>
      </extLst>
    </cacheHierarchy>
    <cacheHierarchy uniqueName="[Measures].[Max of Rating]" caption="Max of Rating" measure="1" displayFolder="" measureGroup="80 CEREALS" count="0">
      <extLst>
        <ext xmlns:x15="http://schemas.microsoft.com/office/spreadsheetml/2010/11/main" uri="{B97F6D7D-B522-45F9-BDA1-12C45D357490}">
          <x15:cacheHierarchy aggregatedColumn="3"/>
        </ext>
      </extLst>
    </cacheHierarchy>
    <cacheHierarchy uniqueName="[Measures].[Count of Manufacturer Of Cereal]" caption="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Manufacturer Of Cereal]" caption="Distinct 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Cereal Name]" caption="Distinct Count of Cereal Name" measure="1" displayFolder="" measureGroup="80 CEREALS" count="0">
      <extLst>
        <ext xmlns:x15="http://schemas.microsoft.com/office/spreadsheetml/2010/11/main" uri="{B97F6D7D-B522-45F9-BDA1-12C45D357490}">
          <x15:cacheHierarchy aggregatedColumn="1"/>
        </ext>
      </extLst>
    </cacheHierarchy>
    <cacheHierarchy uniqueName="[Measures].[Distinct Count of Cereal Name 2]" caption="Distinct 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Weight Of One Serving]" caption="Sum of Weight Of One Serving" measure="1" displayFolder="" measureGroup="80 CEREALS" count="0">
      <extLst>
        <ext xmlns:x15="http://schemas.microsoft.com/office/spreadsheetml/2010/11/main" uri="{B97F6D7D-B522-45F9-BDA1-12C45D357490}">
          <x15:cacheHierarchy aggregatedColumn="5"/>
        </ext>
      </extLst>
    </cacheHierarchy>
    <cacheHierarchy uniqueName="[Measures].[Sum of Protein]" caption="Sum of Protein" measure="1" displayFolder="" measureGroup="80 CEREALS" count="0">
      <extLst>
        <ext xmlns:x15="http://schemas.microsoft.com/office/spreadsheetml/2010/11/main" uri="{B97F6D7D-B522-45F9-BDA1-12C45D357490}">
          <x15:cacheHierarchy aggregatedColumn="7"/>
        </ext>
      </extLst>
    </cacheHierarchy>
    <cacheHierarchy uniqueName="[Measures].[Sum of Vitamins]" caption="Sum of Vitamins" measure="1" displayFolder="" measureGroup="80 CEREALS" count="0">
      <extLst>
        <ext xmlns:x15="http://schemas.microsoft.com/office/spreadsheetml/2010/11/main" uri="{B97F6D7D-B522-45F9-BDA1-12C45D357490}">
          <x15:cacheHierarchy aggregatedColumn="9"/>
        </ext>
      </extLst>
    </cacheHierarchy>
    <cacheHierarchy uniqueName="[Measures].[Sum of Sugars]" caption="Sum of Sugars" measure="1" displayFolder="" measureGroup="80 CEREALS" count="0">
      <extLst>
        <ext xmlns:x15="http://schemas.microsoft.com/office/spreadsheetml/2010/11/main" uri="{B97F6D7D-B522-45F9-BDA1-12C45D357490}">
          <x15:cacheHierarchy aggregatedColumn="13"/>
        </ext>
      </extLst>
    </cacheHierarchy>
    <cacheHierarchy uniqueName="[Measures].[Sum of Sodium]" caption="Sum of Sodium" measure="1" displayFolder="" measureGroup="80 CEREALS" count="0">
      <extLst>
        <ext xmlns:x15="http://schemas.microsoft.com/office/spreadsheetml/2010/11/main" uri="{B97F6D7D-B522-45F9-BDA1-12C45D357490}">
          <x15:cacheHierarchy aggregatedColumn="14"/>
        </ext>
      </extLst>
    </cacheHierarchy>
    <cacheHierarchy uniqueName="[Measures].[Sum of Complex Carbohydrate]" caption="Sum of Complex Carbohydrate" measure="1" displayFolder="" measureGroup="80 CEREALS" count="0">
      <extLst>
        <ext xmlns:x15="http://schemas.microsoft.com/office/spreadsheetml/2010/11/main" uri="{B97F6D7D-B522-45F9-BDA1-12C45D357490}">
          <x15:cacheHierarchy aggregatedColumn="11"/>
        </ext>
      </extLst>
    </cacheHierarchy>
    <cacheHierarchy uniqueName="[Measures].[Sum of Fats]" caption="Sum of Fats" measure="1" displayFolder="" measureGroup="80 CEREALS" count="0">
      <extLst>
        <ext xmlns:x15="http://schemas.microsoft.com/office/spreadsheetml/2010/11/main" uri="{B97F6D7D-B522-45F9-BDA1-12C45D357490}">
          <x15:cacheHierarchy aggregatedColumn="12"/>
        </ext>
      </extLst>
    </cacheHierarchy>
    <cacheHierarchy uniqueName="[Measures].[Sum of Fibers]" caption="Sum of Fibers" measure="1" displayFolder="" measureGroup="80 CEREALS" count="0">
      <extLst>
        <ext xmlns:x15="http://schemas.microsoft.com/office/spreadsheetml/2010/11/main" uri="{B97F6D7D-B522-45F9-BDA1-12C45D357490}">
          <x15:cacheHierarchy aggregatedColumn="8"/>
        </ext>
      </extLst>
    </cacheHierarchy>
    <cacheHierarchy uniqueName="[Measures].[Full Rate]" caption="Full Rate" measure="1" displayFolder="" measureGroup="80 CEREALS" count="0"/>
    <cacheHierarchy uniqueName="[Measures].[__XL_Count 80 CEREALS]" caption="__XL_Count 80 CEREALS" measure="1" displayFolder="" measureGroup="80 CEREALS" count="0" hidden="1"/>
    <cacheHierarchy uniqueName="[Measures].[__XL_Count Nutrient Density]" caption="__XL_Count Nutrient Density" measure="1" displayFolder="" measureGroup="Nutrient Densit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55648483"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77.67657974537" backgroundQuery="1" createdVersion="3" refreshedVersion="8" minRefreshableVersion="3" recordCount="0" supportSubquery="1" supportAdvancedDrill="1" xr:uid="{0F9A64D1-FD7C-4E0C-92BC-B36C1E4AC98F}">
  <cacheSource type="external" connectionId="5">
    <extLst>
      <ext xmlns:x14="http://schemas.microsoft.com/office/spreadsheetml/2009/9/main" uri="{F057638F-6D5F-4e77-A914-E7F072B9BCA8}">
        <x14:sourceConnection name="ThisWorkbookDataModel"/>
      </ext>
    </extLst>
  </cacheSource>
  <cacheFields count="0"/>
  <cacheHierarchies count="51">
    <cacheHierarchy uniqueName="[80 CEREALS].[Manufacturer Of Cereal]" caption="Manufacturer Of Cereal" attribute="1" defaultMemberUniqueName="[80 CEREALS].[Manufacturer Of Cereal].[All]" allUniqueName="[80 CEREALS].[Manufacturer Of Cereal].[All]" dimensionUniqueName="[80 CEREALS]" displayFolder="" count="2" memberValueDatatype="130" unbalanced="0"/>
    <cacheHierarchy uniqueName="[80 CEREALS].[Cereal Name]" caption="Cereal Name" attribute="1" defaultMemberUniqueName="[80 CEREALS].[Cereal Name].[All]" allUniqueName="[80 CEREALS].[Cereal Name].[All]" dimensionUniqueName="[80 CEREALS]" displayFolder="" count="0" memberValueDatatype="130" unbalanced="0"/>
    <cacheHierarchy uniqueName="[80 CEREALS].[Type]" caption="Type" attribute="1" defaultMemberUniqueName="[80 CEREALS].[Type].[All]" allUniqueName="[80 CEREALS].[Type].[All]" dimensionUniqueName="[80 CEREALS]" displayFolder="" count="2" memberValueDatatype="130" unbalanced="0"/>
    <cacheHierarchy uniqueName="[80 CEREALS].[Rating]" caption="Rating" attribute="1" defaultMemberUniqueName="[80 CEREALS].[Rating].[All]" allUniqueName="[80 CEREALS].[Rating].[All]" dimensionUniqueName="[80 CEREALS]" displayFolder="" count="0" memberValueDatatype="20" unbalanced="0"/>
    <cacheHierarchy uniqueName="[80 CEREALS].[Shelf]" caption="Shelf" attribute="1" defaultMemberUniqueName="[80 CEREALS].[Shelf].[All]" allUniqueName="[80 CEREALS].[Shelf].[All]" dimensionUniqueName="[80 CEREALS]" displayFolder="" count="0" memberValueDatatype="20" unbalanced="0"/>
    <cacheHierarchy uniqueName="[80 CEREALS].[Weight Of One Serving]" caption="Weight Of One Serving" attribute="1" defaultMemberUniqueName="[80 CEREALS].[Weight Of One Serving].[All]" allUniqueName="[80 CEREALS].[Weight Of One Serving].[All]" dimensionUniqueName="[80 CEREALS]" displayFolder="" count="0" memberValueDatatype="20" unbalanced="0"/>
    <cacheHierarchy uniqueName="[80 CEREALS].[Calories]" caption="Calories" attribute="1" defaultMemberUniqueName="[80 CEREALS].[Calories].[All]" allUniqueName="[80 CEREALS].[Calories].[All]" dimensionUniqueName="[80 CEREALS]" displayFolder="" count="0" memberValueDatatype="20" unbalanced="0"/>
    <cacheHierarchy uniqueName="[80 CEREALS].[Protein]" caption="Protein" attribute="1" defaultMemberUniqueName="[80 CEREALS].[Protein].[All]" allUniqueName="[80 CEREALS].[Protein].[All]" dimensionUniqueName="[80 CEREALS]" displayFolder="" count="0" memberValueDatatype="20" unbalanced="0"/>
    <cacheHierarchy uniqueName="[80 CEREALS].[Fibers]" caption="Fibers" attribute="1" defaultMemberUniqueName="[80 CEREALS].[Fibers].[All]" allUniqueName="[80 CEREALS].[Fibers].[All]" dimensionUniqueName="[80 CEREALS]" displayFolder="" count="0" memberValueDatatype="5" unbalanced="0"/>
    <cacheHierarchy uniqueName="[80 CEREALS].[Vitamins]" caption="Vitamins" attribute="1" defaultMemberUniqueName="[80 CEREALS].[Vitamins].[All]" allUniqueName="[80 CEREALS].[Vitamins].[All]" dimensionUniqueName="[80 CEREALS]" displayFolder="" count="0" memberValueDatatype="20" unbalanced="0"/>
    <cacheHierarchy uniqueName="[80 CEREALS].[Potassium]" caption="Potassium" attribute="1" defaultMemberUniqueName="[80 CEREALS].[Potassium].[All]" allUniqueName="[80 CEREALS].[Potassium].[All]" dimensionUniqueName="[80 CEREALS]" displayFolder="" count="0" memberValueDatatype="5" unbalanced="0"/>
    <cacheHierarchy uniqueName="[80 CEREALS].[Complex Carbohydrate]" caption="Complex Carbohydrate" attribute="1" defaultMemberUniqueName="[80 CEREALS].[Complex Carbohydrate].[All]" allUniqueName="[80 CEREALS].[Complex Carbohydrate].[All]" dimensionUniqueName="[80 CEREALS]" displayFolder="" count="0" memberValueDatatype="5" unbalanced="0"/>
    <cacheHierarchy uniqueName="[80 CEREALS].[Fats]" caption="Fats" attribute="1" defaultMemberUniqueName="[80 CEREALS].[Fats].[All]" allUniqueName="[80 CEREALS].[Fats].[All]" dimensionUniqueName="[80 CEREALS]" displayFolder="" count="0" memberValueDatatype="20" unbalanced="0"/>
    <cacheHierarchy uniqueName="[80 CEREALS].[Sugars]" caption="Sugars" attribute="1" defaultMemberUniqueName="[80 CEREALS].[Sugars].[All]" allUniqueName="[80 CEREALS].[Sugars].[All]" dimensionUniqueName="[80 CEREALS]" displayFolder="" count="0" memberValueDatatype="20" unbalanced="0"/>
    <cacheHierarchy uniqueName="[80 CEREALS].[Sodium]" caption="Sodium" attribute="1" defaultMemberUniqueName="[80 CEREALS].[Sodium].[All]" allUniqueName="[80 CEREALS].[Sodium].[All]" dimensionUniqueName="[80 CEREALS]" displayFolder="" count="0" memberValueDatatype="5" unbalanced="0"/>
    <cacheHierarchy uniqueName="[Nutrient Density].[Cereal Name]" caption="Cereal Name" attribute="1" defaultMemberUniqueName="[Nutrient Density].[Cereal Name].[All]" allUniqueName="[Nutrient Density].[Cereal Name].[All]" dimensionUniqueName="[Nutrient Density]" displayFolder="" count="0" memberValueDatatype="130" unbalanced="0"/>
    <cacheHierarchy uniqueName="[Nutrient Density].[Weight Of One Serving]" caption="Weight Of One Serving" attribute="1" defaultMemberUniqueName="[Nutrient Density].[Weight Of One Serving].[All]" allUniqueName="[Nutrient Density].[Weight Of One Serving].[All]" dimensionUniqueName="[Nutrient Density]" displayFolder="" count="0" memberValueDatatype="20" unbalanced="0"/>
    <cacheHierarchy uniqueName="[Nutrient Density].[Calories]" caption="Calories" attribute="1" defaultMemberUniqueName="[Nutrient Density].[Calories].[All]" allUniqueName="[Nutrient Density].[Calories].[All]" dimensionUniqueName="[Nutrient Density]" displayFolder="" count="0" memberValueDatatype="20" unbalanced="0"/>
    <cacheHierarchy uniqueName="[Nutrient Density].[Vitamins]" caption="Vitamins" attribute="1" defaultMemberUniqueName="[Nutrient Density].[Vitamins].[All]" allUniqueName="[Nutrient Density].[Vitamins].[All]" dimensionUniqueName="[Nutrient Density]" displayFolder="" count="0" memberValueDatatype="20" unbalanced="0"/>
    <cacheHierarchy uniqueName="[Nutrient Density].[Protein Density]" caption="Protein Density" attribute="1" defaultMemberUniqueName="[Nutrient Density].[Protein Density].[All]" allUniqueName="[Nutrient Density].[Protein Density].[All]" dimensionUniqueName="[Nutrient Density]" displayFolder="" count="0" memberValueDatatype="5" unbalanced="0"/>
    <cacheHierarchy uniqueName="[Nutrient Density].[Fiber Density]" caption="Fiber Density" attribute="1" defaultMemberUniqueName="[Nutrient Density].[Fiber Density].[All]" allUniqueName="[Nutrient Density].[Fiber Density].[All]" dimensionUniqueName="[Nutrient Density]" displayFolder="" count="0" memberValueDatatype="5" unbalanced="0"/>
    <cacheHierarchy uniqueName="[Nutrient Density].[Sugar Density]" caption="Sugar Density" attribute="1" defaultMemberUniqueName="[Nutrient Density].[Sugar Density].[All]" allUniqueName="[Nutrient Density].[Sugar Density].[All]" dimensionUniqueName="[Nutrient Density]" displayFolder="" count="0" memberValueDatatype="5" unbalanced="0"/>
    <cacheHierarchy uniqueName="[Nutrient Density].[Potassium Density]" caption="Potassium Density" attribute="1" defaultMemberUniqueName="[Nutrient Density].[Potassium Density].[All]" allUniqueName="[Nutrient Density].[Potassium Density].[All]" dimensionUniqueName="[Nutrient Density]" displayFolder="" count="0" memberValueDatatype="5" unbalanced="0"/>
    <cacheHierarchy uniqueName="[Nutrient Density].[Complex Carbohydrate Density]" caption="Complex Carbohydrate Density" attribute="1" defaultMemberUniqueName="[Nutrient Density].[Complex Carbohydrate Density].[All]" allUniqueName="[Nutrient Density].[Complex Carbohydrate Density].[All]" dimensionUniqueName="[Nutrient Density]" displayFolder="" count="0" memberValueDatatype="5" unbalanced="0"/>
    <cacheHierarchy uniqueName="[Nutrient Density].[Fat Density]" caption="Fat Density" attribute="1" defaultMemberUniqueName="[Nutrient Density].[Fat Density].[All]" allUniqueName="[Nutrient Density].[Fat Density].[All]" dimensionUniqueName="[Nutrient Density]" displayFolder="" count="0" memberValueDatatype="5" unbalanced="0"/>
    <cacheHierarchy uniqueName="[Nutrient Density].[Sodium Density]" caption="Sodium Density" attribute="1" defaultMemberUniqueName="[Nutrient Density].[Sodium Density].[All]" allUniqueName="[Nutrient Density].[Sodium Density].[All]" dimensionUniqueName="[Nutrient Density]" displayFolder="" count="0" memberValueDatatype="5" unbalanced="0"/>
    <cacheHierarchy uniqueName="[Nutrient Density].[Nutrient Density Score]" caption="Nutrient Density Score" attribute="1" defaultMemberUniqueName="[Nutrient Density].[Nutrient Density Score].[All]" allUniqueName="[Nutrient Density].[Nutrient Density Score].[All]" dimensionUniqueName="[Nutrient Density]" displayFolder="" count="0" memberValueDatatype="5" unbalanced="0"/>
    <cacheHierarchy uniqueName="[Nutrient Density].[Nutrient Density Category]" caption="Nutrient Density Category" attribute="1" defaultMemberUniqueName="[Nutrient Density].[Nutrient Density Category].[All]" allUniqueName="[Nutrient Density].[Nutrient Density Category].[All]" dimensionUniqueName="[Nutrient Density]" displayFolder="" count="2" memberValueDatatype="130" unbalanced="0"/>
    <cacheHierarchy uniqueName="[Nutrient Density].[score]" caption="score" attribute="1" defaultMemberUniqueName="[Nutrient Density].[score].[All]" allUniqueName="[Nutrient Density].[score].[All]" dimensionUniqueName="[Nutrient Density]" displayFolder="" count="0" memberValueDatatype="20" unbalanced="0"/>
    <cacheHierarchy uniqueName="[Measures].[Count of Cereal Name]" caption="Count of Cereal Name" measure="1" displayFolder="" measureGroup="80 CEREALS" count="0">
      <extLst>
        <ext xmlns:x15="http://schemas.microsoft.com/office/spreadsheetml/2010/11/main" uri="{B97F6D7D-B522-45F9-BDA1-12C45D357490}">
          <x15:cacheHierarchy aggregatedColumn="1"/>
        </ext>
      </extLst>
    </cacheHierarchy>
    <cacheHierarchy uniqueName="[Measures].[Count of Cereal Name 2]" caption="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Calories]" caption="Sum of Calories" measure="1" displayFolder="" measureGroup="80 CEREALS" count="0">
      <extLst>
        <ext xmlns:x15="http://schemas.microsoft.com/office/spreadsheetml/2010/11/main" uri="{B97F6D7D-B522-45F9-BDA1-12C45D357490}">
          <x15:cacheHierarchy aggregatedColumn="6"/>
        </ext>
      </extLst>
    </cacheHierarchy>
    <cacheHierarchy uniqueName="[Measures].[Sum of Potassium]" caption="Sum of Potassium" measure="1" displayFolder="" measureGroup="80 CEREALS" count="0">
      <extLst>
        <ext xmlns:x15="http://schemas.microsoft.com/office/spreadsheetml/2010/11/main" uri="{B97F6D7D-B522-45F9-BDA1-12C45D357490}">
          <x15:cacheHierarchy aggregatedColumn="10"/>
        </ext>
      </extLst>
    </cacheHierarchy>
    <cacheHierarchy uniqueName="[Measures].[Sum of Rating]" caption="Sum of Rating" measure="1" displayFolder="" measureGroup="80 CEREALS" count="0">
      <extLst>
        <ext xmlns:x15="http://schemas.microsoft.com/office/spreadsheetml/2010/11/main" uri="{B97F6D7D-B522-45F9-BDA1-12C45D357490}">
          <x15:cacheHierarchy aggregatedColumn="3"/>
        </ext>
      </extLst>
    </cacheHierarchy>
    <cacheHierarchy uniqueName="[Measures].[Max of Rating]" caption="Max of Rating" measure="1" displayFolder="" measureGroup="80 CEREALS" count="0">
      <extLst>
        <ext xmlns:x15="http://schemas.microsoft.com/office/spreadsheetml/2010/11/main" uri="{B97F6D7D-B522-45F9-BDA1-12C45D357490}">
          <x15:cacheHierarchy aggregatedColumn="3"/>
        </ext>
      </extLst>
    </cacheHierarchy>
    <cacheHierarchy uniqueName="[Measures].[Count of Manufacturer Of Cereal]" caption="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Manufacturer Of Cereal]" caption="Distinct Count of Manufacturer Of Cereal" measure="1" displayFolder="" measureGroup="80 CEREALS" count="0">
      <extLst>
        <ext xmlns:x15="http://schemas.microsoft.com/office/spreadsheetml/2010/11/main" uri="{B97F6D7D-B522-45F9-BDA1-12C45D357490}">
          <x15:cacheHierarchy aggregatedColumn="0"/>
        </ext>
      </extLst>
    </cacheHierarchy>
    <cacheHierarchy uniqueName="[Measures].[Distinct Count of Cereal Name]" caption="Distinct Count of Cereal Name" measure="1" displayFolder="" measureGroup="80 CEREALS" count="0">
      <extLst>
        <ext xmlns:x15="http://schemas.microsoft.com/office/spreadsheetml/2010/11/main" uri="{B97F6D7D-B522-45F9-BDA1-12C45D357490}">
          <x15:cacheHierarchy aggregatedColumn="1"/>
        </ext>
      </extLst>
    </cacheHierarchy>
    <cacheHierarchy uniqueName="[Measures].[Distinct Count of Cereal Name 2]" caption="Distinct Count of Cereal Name 2" measure="1" displayFolder="" measureGroup="Nutrient Density" count="0">
      <extLst>
        <ext xmlns:x15="http://schemas.microsoft.com/office/spreadsheetml/2010/11/main" uri="{B97F6D7D-B522-45F9-BDA1-12C45D357490}">
          <x15:cacheHierarchy aggregatedColumn="15"/>
        </ext>
      </extLst>
    </cacheHierarchy>
    <cacheHierarchy uniqueName="[Measures].[Sum of Weight Of One Serving]" caption="Sum of Weight Of One Serving" measure="1" displayFolder="" measureGroup="80 CEREALS" count="0">
      <extLst>
        <ext xmlns:x15="http://schemas.microsoft.com/office/spreadsheetml/2010/11/main" uri="{B97F6D7D-B522-45F9-BDA1-12C45D357490}">
          <x15:cacheHierarchy aggregatedColumn="5"/>
        </ext>
      </extLst>
    </cacheHierarchy>
    <cacheHierarchy uniqueName="[Measures].[Sum of Protein]" caption="Sum of Protein" measure="1" displayFolder="" measureGroup="80 CEREALS" count="0">
      <extLst>
        <ext xmlns:x15="http://schemas.microsoft.com/office/spreadsheetml/2010/11/main" uri="{B97F6D7D-B522-45F9-BDA1-12C45D357490}">
          <x15:cacheHierarchy aggregatedColumn="7"/>
        </ext>
      </extLst>
    </cacheHierarchy>
    <cacheHierarchy uniqueName="[Measures].[Sum of Vitamins]" caption="Sum of Vitamins" measure="1" displayFolder="" measureGroup="80 CEREALS" count="0">
      <extLst>
        <ext xmlns:x15="http://schemas.microsoft.com/office/spreadsheetml/2010/11/main" uri="{B97F6D7D-B522-45F9-BDA1-12C45D357490}">
          <x15:cacheHierarchy aggregatedColumn="9"/>
        </ext>
      </extLst>
    </cacheHierarchy>
    <cacheHierarchy uniqueName="[Measures].[Sum of Sugars]" caption="Sum of Sugars" measure="1" displayFolder="" measureGroup="80 CEREALS" count="0">
      <extLst>
        <ext xmlns:x15="http://schemas.microsoft.com/office/spreadsheetml/2010/11/main" uri="{B97F6D7D-B522-45F9-BDA1-12C45D357490}">
          <x15:cacheHierarchy aggregatedColumn="13"/>
        </ext>
      </extLst>
    </cacheHierarchy>
    <cacheHierarchy uniqueName="[Measures].[Sum of Sodium]" caption="Sum of Sodium" measure="1" displayFolder="" measureGroup="80 CEREALS" count="0">
      <extLst>
        <ext xmlns:x15="http://schemas.microsoft.com/office/spreadsheetml/2010/11/main" uri="{B97F6D7D-B522-45F9-BDA1-12C45D357490}">
          <x15:cacheHierarchy aggregatedColumn="14"/>
        </ext>
      </extLst>
    </cacheHierarchy>
    <cacheHierarchy uniqueName="[Measures].[Sum of Complex Carbohydrate]" caption="Sum of Complex Carbohydrate" measure="1" displayFolder="" measureGroup="80 CEREALS" count="0">
      <extLst>
        <ext xmlns:x15="http://schemas.microsoft.com/office/spreadsheetml/2010/11/main" uri="{B97F6D7D-B522-45F9-BDA1-12C45D357490}">
          <x15:cacheHierarchy aggregatedColumn="11"/>
        </ext>
      </extLst>
    </cacheHierarchy>
    <cacheHierarchy uniqueName="[Measures].[Sum of Fats]" caption="Sum of Fats" measure="1" displayFolder="" measureGroup="80 CEREALS" count="0">
      <extLst>
        <ext xmlns:x15="http://schemas.microsoft.com/office/spreadsheetml/2010/11/main" uri="{B97F6D7D-B522-45F9-BDA1-12C45D357490}">
          <x15:cacheHierarchy aggregatedColumn="12"/>
        </ext>
      </extLst>
    </cacheHierarchy>
    <cacheHierarchy uniqueName="[Measures].[Sum of Fibers]" caption="Sum of Fibers" measure="1" displayFolder="" measureGroup="80 CEREALS" count="0">
      <extLst>
        <ext xmlns:x15="http://schemas.microsoft.com/office/spreadsheetml/2010/11/main" uri="{B97F6D7D-B522-45F9-BDA1-12C45D357490}">
          <x15:cacheHierarchy aggregatedColumn="8"/>
        </ext>
      </extLst>
    </cacheHierarchy>
    <cacheHierarchy uniqueName="[Measures].[Full Rate]" caption="Full Rate" measure="1" displayFolder="" measureGroup="80 CEREALS" count="0"/>
    <cacheHierarchy uniqueName="[Measures].[__XL_Count 80 CEREALS]" caption="__XL_Count 80 CEREALS" measure="1" displayFolder="" measureGroup="80 CEREALS" count="0" hidden="1"/>
    <cacheHierarchy uniqueName="[Measures].[__XL_Count Nutrient Density]" caption="__XL_Count Nutrient Density" measure="1" displayFolder="" measureGroup="Nutrient Densit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9411392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7532534-D1B3-4D0A-9C97-858B1ECB2EA5}" name="Detailed view" cacheId="71" applyNumberFormats="0" applyBorderFormats="0" applyFontFormats="0" applyPatternFormats="0" applyAlignmentFormats="0" applyWidthHeightFormats="1" dataCaption="Values" tag="5fc8265f-d423-446a-8592-0d056780993a" updatedVersion="8" minRefreshableVersion="3" preserveFormatting="0" subtotalHiddenItems="1" rowGrandTotals="0" colGrandTotals="0" itemPrintTitles="1" createdVersion="8" indent="0" outline="1" outlineData="1" multipleFieldFilters="0" chartFormat="2">
  <location ref="W7:AH84" firstHeaderRow="0" firstDataRow="1" firstDataCol="1"/>
  <pivotFields count="14">
    <pivotField axis="axisRow" allDrilled="1" subtotalTop="0" showAll="0" sortType="descending" defaultSubtotal="0" defaultAttributeDrillState="1">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7">
    <i>
      <x v="3"/>
    </i>
    <i>
      <x v="64"/>
    </i>
    <i>
      <x v="65"/>
    </i>
    <i>
      <x v="63"/>
    </i>
    <i>
      <x/>
    </i>
    <i>
      <x v="20"/>
    </i>
    <i>
      <x v="55"/>
    </i>
    <i>
      <x v="54"/>
    </i>
    <i>
      <x v="50"/>
    </i>
    <i>
      <x v="2"/>
    </i>
    <i>
      <x v="68"/>
    </i>
    <i>
      <x v="26"/>
    </i>
    <i>
      <x v="60"/>
    </i>
    <i>
      <x v="43"/>
    </i>
    <i>
      <x v="33"/>
    </i>
    <i>
      <x v="67"/>
    </i>
    <i>
      <x v="9"/>
    </i>
    <i>
      <x v="32"/>
    </i>
    <i>
      <x v="75"/>
    </i>
    <i>
      <x v="57"/>
    </i>
    <i>
      <x v="11"/>
    </i>
    <i>
      <x v="56"/>
    </i>
    <i>
      <x v="74"/>
    </i>
    <i>
      <x v="8"/>
    </i>
    <i>
      <x v="21"/>
    </i>
    <i>
      <x v="71"/>
    </i>
    <i>
      <x v="34"/>
    </i>
    <i>
      <x v="16"/>
    </i>
    <i>
      <x v="41"/>
    </i>
    <i>
      <x v="23"/>
    </i>
    <i>
      <x v="61"/>
    </i>
    <i>
      <x v="53"/>
    </i>
    <i>
      <x v="49"/>
    </i>
    <i>
      <x v="15"/>
    </i>
    <i>
      <x v="27"/>
    </i>
    <i>
      <x v="62"/>
    </i>
    <i>
      <x v="28"/>
    </i>
    <i>
      <x v="47"/>
    </i>
    <i>
      <x v="59"/>
    </i>
    <i>
      <x v="19"/>
    </i>
    <i>
      <x v="13"/>
    </i>
    <i>
      <x v="72"/>
    </i>
    <i>
      <x v="58"/>
    </i>
    <i>
      <x v="40"/>
    </i>
    <i>
      <x v="69"/>
    </i>
    <i>
      <x v="52"/>
    </i>
    <i>
      <x v="7"/>
    </i>
    <i>
      <x v="44"/>
    </i>
    <i>
      <x v="38"/>
    </i>
    <i>
      <x v="22"/>
    </i>
    <i>
      <x v="39"/>
    </i>
    <i>
      <x v="76"/>
    </i>
    <i>
      <x v="17"/>
    </i>
    <i>
      <x v="30"/>
    </i>
    <i>
      <x v="1"/>
    </i>
    <i>
      <x v="45"/>
    </i>
    <i>
      <x v="4"/>
    </i>
    <i>
      <x v="6"/>
    </i>
    <i>
      <x v="24"/>
    </i>
    <i>
      <x v="25"/>
    </i>
    <i>
      <x v="36"/>
    </i>
    <i>
      <x v="66"/>
    </i>
    <i>
      <x v="51"/>
    </i>
    <i>
      <x v="46"/>
    </i>
    <i>
      <x v="5"/>
    </i>
    <i>
      <x v="48"/>
    </i>
    <i>
      <x v="37"/>
    </i>
    <i>
      <x v="70"/>
    </i>
    <i>
      <x v="29"/>
    </i>
    <i>
      <x v="73"/>
    </i>
    <i>
      <x v="42"/>
    </i>
    <i>
      <x v="31"/>
    </i>
    <i>
      <x v="14"/>
    </i>
    <i>
      <x v="18"/>
    </i>
    <i>
      <x v="35"/>
    </i>
    <i>
      <x v="12"/>
    </i>
    <i>
      <x v="10"/>
    </i>
  </rowItems>
  <colFields count="1">
    <field x="-2"/>
  </colFields>
  <colItems count="11">
    <i>
      <x/>
    </i>
    <i i="1">
      <x v="1"/>
    </i>
    <i i="2">
      <x v="2"/>
    </i>
    <i i="3">
      <x v="3"/>
    </i>
    <i i="4">
      <x v="4"/>
    </i>
    <i i="5">
      <x v="5"/>
    </i>
    <i i="6">
      <x v="6"/>
    </i>
    <i i="7">
      <x v="7"/>
    </i>
    <i i="8">
      <x v="8"/>
    </i>
    <i i="9">
      <x v="9"/>
    </i>
    <i i="10">
      <x v="10"/>
    </i>
  </colItems>
  <dataFields count="11">
    <dataField name="Rating By Customers" fld="1" baseField="0" baseItem="2"/>
    <dataField name="Portion Weight" fld="3" baseField="0" baseItem="0"/>
    <dataField name="Calories" fld="4" baseField="0" baseItem="0"/>
    <dataField name="Protein" fld="5" baseField="0" baseItem="0"/>
    <dataField name="Vitamins" fld="6" baseField="0" baseItem="0"/>
    <dataField name="Potassium" fld="7" baseField="0" baseItem="0"/>
    <dataField name="Sugars" fld="8" baseField="0" baseItem="0"/>
    <dataField name="Sodium" fld="9" baseField="0" baseItem="0"/>
    <dataField name="Complex Carbohydrate" fld="10" baseField="0" baseItem="0"/>
    <dataField name="Fats" fld="11" baseField="0" baseItem="0"/>
    <dataField name="Fibers" fld="12" baseField="0" baseItem="0"/>
  </dataFields>
  <chartFormats count="1">
    <chartFormat chart="0" format="0" series="1">
      <pivotArea type="data" outline="0" fieldPosition="0">
        <references count="1">
          <reference field="4294967294" count="1" selected="0">
            <x v="0"/>
          </reference>
        </references>
      </pivotArea>
    </chartFormat>
  </chartFormats>
  <pivotHierarchies count="5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Calories"/>
    <pivotHierarchy dragToData="1" caption="Potassium"/>
    <pivotHierarchy dragToData="1" caption="Rating By Customers"/>
    <pivotHierarchy dragToData="1" caption="Max of Rating"/>
    <pivotHierarchy dragToData="1"/>
    <pivotHierarchy dragToData="1"/>
    <pivotHierarchy dragToData="1"/>
    <pivotHierarchy dragToData="1"/>
    <pivotHierarchy dragToData="1" caption="Portion Weight"/>
    <pivotHierarchy dragToData="1" caption="Protein"/>
    <pivotHierarchy dragToData="1" caption="Vitamins"/>
    <pivotHierarchy dragToData="1" caption="Sugars"/>
    <pivotHierarchy dragToData="1" caption="Sodium"/>
    <pivotHierarchy dragToData="1" caption="Complex Carbohydrate"/>
    <pivotHierarchy dragToData="1" caption="Fats"/>
    <pivotHierarchy dragToData="1" caption="Fibers"/>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8"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80 CEREALS]"/>
        <x15:activeTabTopLevelEntity name="[Nutrient Dens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77049A-9BD8-43A4-9FCF-612812F316BD}" name="Detailed view measures" cacheId="74" applyNumberFormats="0" applyBorderFormats="0" applyFontFormats="0" applyPatternFormats="0" applyAlignmentFormats="0" applyWidthHeightFormats="1" dataCaption="Values" tag="bd511acc-cf9d-4cbb-89d1-e85f49dc4001" updatedVersion="8" minRefreshableVersion="3" preserveFormatting="0" subtotalHiddenItems="1" itemPrintTitles="1" createdVersion="8" indent="0" outline="1" outlineData="1" multipleFieldFilters="0">
  <location ref="AK9:AL10"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Distinct Count of Cereal Name" fld="1" subtotal="count" baseField="0" baseItem="0">
      <extLst>
        <ext xmlns:x15="http://schemas.microsoft.com/office/spreadsheetml/2010/11/main" uri="{FABC7310-3BB5-11E1-824E-6D434824019B}">
          <x15:dataField isCountDistinct="1"/>
        </ext>
      </extLst>
    </dataField>
    <dataField name="Distinct Count of Manufacturer Of Cereal" fld="0" subtotal="count" baseField="0" baseItem="0">
      <extLst>
        <ext xmlns:x15="http://schemas.microsoft.com/office/spreadsheetml/2010/11/main" uri="{FABC7310-3BB5-11E1-824E-6D434824019B}">
          <x15:dataField isCountDistinct="1"/>
        </ext>
      </extLst>
    </dataField>
  </dataFields>
  <pivotHierarchies count="5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Manufacturer Of Cereal"/>
    <pivotHierarchy dragToData="1" caption="Distinct Count of Cereal Name"/>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8"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80 CEREALS]"/>
        <x15:activeTabTopLevelEntity name="[Nutrient Dens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5E9A38-745E-4F54-A89C-76FAF9CD3131}" name="Top 10 in rating" cacheId="0" applyNumberFormats="0" applyBorderFormats="0" applyFontFormats="0" applyPatternFormats="0" applyAlignmentFormats="0" applyWidthHeightFormats="1" dataCaption="Values" tag="5fc8265f-d423-446a-8592-0d056780993a" updatedVersion="8" minRefreshableVersion="3" preserveFormatting="0" subtotalHiddenItems="1" rowGrandTotals="0" colGrandTotals="0" itemPrintTitles="1" createdVersion="8" indent="0" outline="1" outlineData="1" multipleFieldFilters="0" chartFormat="43">
  <location ref="B25:D55" firstHeaderRow="0" firstDataRow="1" firstDataCol="1"/>
  <pivotFields count="6">
    <pivotField axis="axisRow" allDrilled="1" subtotalTop="0" showAll="0" measureFilter="1" defaultSubtotal="0" defaultAttributeDrillState="1">
      <items count="27">
        <item x="10"/>
        <item x="11"/>
        <item x="12"/>
        <item x="13"/>
        <item x="14"/>
        <item x="15"/>
        <item x="16"/>
        <item x="17"/>
        <item x="18"/>
        <item x="19"/>
        <item x="20"/>
        <item x="21"/>
        <item x="23"/>
        <item x="25"/>
        <item x="26"/>
        <item x="0"/>
        <item x="1"/>
        <item x="2"/>
        <item x="3"/>
        <item x="4"/>
        <item x="5"/>
        <item x="6"/>
        <item x="7"/>
        <item x="8"/>
        <item x="9"/>
        <item x="22"/>
        <item x="24"/>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2">
    <field x="1"/>
    <field x="0"/>
  </rowFields>
  <rowItems count="30">
    <i>
      <x/>
    </i>
    <i r="1">
      <x v="15"/>
    </i>
    <i r="1">
      <x v="16"/>
    </i>
    <i r="1">
      <x v="17"/>
    </i>
    <i r="1">
      <x v="18"/>
    </i>
    <i r="1">
      <x v="19"/>
    </i>
    <i r="1">
      <x v="20"/>
    </i>
    <i r="1">
      <x v="21"/>
    </i>
    <i r="1">
      <x v="22"/>
    </i>
    <i r="1">
      <x v="23"/>
    </i>
    <i r="1">
      <x v="24"/>
    </i>
    <i>
      <x v="1"/>
    </i>
    <i r="1">
      <x/>
    </i>
    <i r="1">
      <x v="1"/>
    </i>
    <i r="1">
      <x v="2"/>
    </i>
    <i r="1">
      <x v="3"/>
    </i>
    <i r="1">
      <x v="4"/>
    </i>
    <i r="1">
      <x v="5"/>
    </i>
    <i r="1">
      <x v="6"/>
    </i>
    <i r="1">
      <x v="7"/>
    </i>
    <i r="1">
      <x v="8"/>
    </i>
    <i r="1">
      <x v="9"/>
    </i>
    <i>
      <x v="2"/>
    </i>
    <i r="1">
      <x v="10"/>
    </i>
    <i r="1">
      <x v="11"/>
    </i>
    <i r="1">
      <x v="12"/>
    </i>
    <i r="1">
      <x v="13"/>
    </i>
    <i r="1">
      <x v="14"/>
    </i>
    <i r="1">
      <x v="25"/>
    </i>
    <i r="1">
      <x v="26"/>
    </i>
  </rowItems>
  <colFields count="1">
    <field x="-2"/>
  </colFields>
  <colItems count="2">
    <i>
      <x/>
    </i>
    <i i="1">
      <x v="1"/>
    </i>
  </colItems>
  <dataFields count="2">
    <dataField name="Rating By Customers" fld="2" baseField="0" baseItem="2"/>
    <dataField fld="4" subtotal="count" baseField="0" baseItem="0"/>
  </dataFields>
  <chartFormats count="30">
    <chartFormat chart="9"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1"/>
          </reference>
        </references>
      </pivotArea>
    </chartFormat>
    <chartFormat chart="9" format="7">
      <pivotArea type="data" outline="0" fieldPosition="0">
        <references count="3">
          <reference field="4294967294" count="1" selected="0">
            <x v="1"/>
          </reference>
          <reference field="0" count="1" selected="0">
            <x v="10"/>
          </reference>
          <reference field="1" count="1" selected="0">
            <x v="2"/>
          </reference>
        </references>
      </pivotArea>
    </chartFormat>
    <chartFormat chart="9" format="8">
      <pivotArea type="data" outline="0" fieldPosition="0">
        <references count="3">
          <reference field="4294967294" count="1" selected="0">
            <x v="0"/>
          </reference>
          <reference field="0" count="1" selected="0">
            <x v="10"/>
          </reference>
          <reference field="1" count="1" selected="0">
            <x v="2"/>
          </reference>
        </references>
      </pivotArea>
    </chartFormat>
    <chartFormat chart="9" format="9">
      <pivotArea type="data" outline="0" fieldPosition="0">
        <references count="3">
          <reference field="4294967294" count="1" selected="0">
            <x v="0"/>
          </reference>
          <reference field="0" count="1" selected="0">
            <x v="8"/>
          </reference>
          <reference field="1" count="1" selected="0">
            <x v="1"/>
          </reference>
        </references>
      </pivotArea>
    </chartFormat>
    <chartFormat chart="9" format="10">
      <pivotArea type="data" outline="0" fieldPosition="0">
        <references count="3">
          <reference field="4294967294" count="1" selected="0">
            <x v="0"/>
          </reference>
          <reference field="0" count="1" selected="0">
            <x v="9"/>
          </reference>
          <reference field="1" count="1" selected="0">
            <x v="1"/>
          </reference>
        </references>
      </pivotArea>
    </chartFormat>
    <chartFormat chart="9" format="11">
      <pivotArea type="data" outline="0" fieldPosition="0">
        <references count="3">
          <reference field="4294967294" count="1" selected="0">
            <x v="0"/>
          </reference>
          <reference field="0" count="1" selected="0">
            <x v="11"/>
          </reference>
          <reference field="1" count="1" selected="0">
            <x v="2"/>
          </reference>
        </references>
      </pivotArea>
    </chartFormat>
    <chartFormat chart="9" format="12">
      <pivotArea type="data" outline="0" fieldPosition="0">
        <references count="3">
          <reference field="4294967294" count="1" selected="0">
            <x v="0"/>
          </reference>
          <reference field="0" count="1" selected="0">
            <x v="12"/>
          </reference>
          <reference field="1" count="1" selected="0">
            <x v="2"/>
          </reference>
        </references>
      </pivotArea>
    </chartFormat>
    <chartFormat chart="9" format="13">
      <pivotArea type="data" outline="0" fieldPosition="0">
        <references count="3">
          <reference field="4294967294" count="1" selected="0">
            <x v="0"/>
          </reference>
          <reference field="0" count="1" selected="0">
            <x v="14"/>
          </reference>
          <reference field="1" count="1" selected="0">
            <x v="2"/>
          </reference>
        </references>
      </pivotArea>
    </chartFormat>
    <chartFormat chart="9" format="14">
      <pivotArea type="data" outline="0" fieldPosition="0">
        <references count="3">
          <reference field="4294967294" count="1" selected="0">
            <x v="0"/>
          </reference>
          <reference field="0" count="1" selected="0">
            <x v="13"/>
          </reference>
          <reference field="1" count="1" selected="0">
            <x v="2"/>
          </reference>
        </references>
      </pivotArea>
    </chartFormat>
    <chartFormat chart="9" format="15">
      <pivotArea type="data" outline="0" fieldPosition="0">
        <references count="3">
          <reference field="4294967294" count="1" selected="0">
            <x v="0"/>
          </reference>
          <reference field="0" count="1" selected="0">
            <x v="26"/>
          </reference>
          <reference field="1" count="1" selected="0">
            <x v="2"/>
          </reference>
        </references>
      </pivotArea>
    </chartFormat>
    <chartFormat chart="9" format="16">
      <pivotArea type="data" outline="0" fieldPosition="0">
        <references count="3">
          <reference field="4294967294" count="1" selected="0">
            <x v="0"/>
          </reference>
          <reference field="0" count="1" selected="0">
            <x v="25"/>
          </reference>
          <reference field="1" count="1" selected="0">
            <x v="2"/>
          </reference>
        </references>
      </pivotArea>
    </chartFormat>
    <chartFormat chart="9" format="17">
      <pivotArea type="data" outline="0" fieldPosition="0">
        <references count="3">
          <reference field="4294967294" count="1" selected="0">
            <x v="0"/>
          </reference>
          <reference field="0" count="1" selected="0">
            <x v="6"/>
          </reference>
          <reference field="1" count="1" selected="0">
            <x v="1"/>
          </reference>
        </references>
      </pivotArea>
    </chartFormat>
    <chartFormat chart="9" format="18">
      <pivotArea type="data" outline="0" fieldPosition="0">
        <references count="3">
          <reference field="4294967294" count="1" selected="0">
            <x v="0"/>
          </reference>
          <reference field="0" count="1" selected="0">
            <x v="7"/>
          </reference>
          <reference field="1" count="1" selected="0">
            <x v="1"/>
          </reference>
        </references>
      </pivotArea>
    </chartFormat>
    <chartFormat chart="9" format="19">
      <pivotArea type="data" outline="0" fieldPosition="0">
        <references count="3">
          <reference field="4294967294" count="1" selected="0">
            <x v="0"/>
          </reference>
          <reference field="0" count="1" selected="0">
            <x v="5"/>
          </reference>
          <reference field="1" count="1" selected="0">
            <x v="1"/>
          </reference>
        </references>
      </pivotArea>
    </chartFormat>
    <chartFormat chart="9" format="20">
      <pivotArea type="data" outline="0" fieldPosition="0">
        <references count="3">
          <reference field="4294967294" count="1" selected="0">
            <x v="0"/>
          </reference>
          <reference field="0" count="1" selected="0">
            <x v="3"/>
          </reference>
          <reference field="1" count="1" selected="0">
            <x v="1"/>
          </reference>
        </references>
      </pivotArea>
    </chartFormat>
    <chartFormat chart="9" format="21">
      <pivotArea type="data" outline="0" fieldPosition="0">
        <references count="3">
          <reference field="4294967294" count="1" selected="0">
            <x v="0"/>
          </reference>
          <reference field="0" count="1" selected="0">
            <x v="4"/>
          </reference>
          <reference field="1" count="1" selected="0">
            <x v="1"/>
          </reference>
        </references>
      </pivotArea>
    </chartFormat>
    <chartFormat chart="9" format="22">
      <pivotArea type="data" outline="0" fieldPosition="0">
        <references count="3">
          <reference field="4294967294" count="1" selected="0">
            <x v="0"/>
          </reference>
          <reference field="0" count="1" selected="0">
            <x v="1"/>
          </reference>
          <reference field="1" count="1" selected="0">
            <x v="1"/>
          </reference>
        </references>
      </pivotArea>
    </chartFormat>
    <chartFormat chart="9" format="23">
      <pivotArea type="data" outline="0" fieldPosition="0">
        <references count="3">
          <reference field="4294967294" count="1" selected="0">
            <x v="0"/>
          </reference>
          <reference field="0" count="1" selected="0">
            <x v="2"/>
          </reference>
          <reference field="1" count="1" selected="0">
            <x v="1"/>
          </reference>
        </references>
      </pivotArea>
    </chartFormat>
    <chartFormat chart="9" format="24">
      <pivotArea type="data" outline="0" fieldPosition="0">
        <references count="3">
          <reference field="4294967294" count="1" selected="0">
            <x v="0"/>
          </reference>
          <reference field="0" count="1" selected="0">
            <x v="0"/>
          </reference>
          <reference field="1" count="1" selected="0">
            <x v="1"/>
          </reference>
        </references>
      </pivotArea>
    </chartFormat>
    <chartFormat chart="9" format="25">
      <pivotArea type="data" outline="0" fieldPosition="0">
        <references count="3">
          <reference field="4294967294" count="1" selected="0">
            <x v="0"/>
          </reference>
          <reference field="0" count="1" selected="0">
            <x v="24"/>
          </reference>
          <reference field="1" count="1" selected="0">
            <x v="0"/>
          </reference>
        </references>
      </pivotArea>
    </chartFormat>
    <chartFormat chart="9" format="26">
      <pivotArea type="data" outline="0" fieldPosition="0">
        <references count="3">
          <reference field="4294967294" count="1" selected="0">
            <x v="0"/>
          </reference>
          <reference field="0" count="1" selected="0">
            <x v="23"/>
          </reference>
          <reference field="1" count="1" selected="0">
            <x v="0"/>
          </reference>
        </references>
      </pivotArea>
    </chartFormat>
    <chartFormat chart="9" format="27">
      <pivotArea type="data" outline="0" fieldPosition="0">
        <references count="3">
          <reference field="4294967294" count="1" selected="0">
            <x v="0"/>
          </reference>
          <reference field="0" count="1" selected="0">
            <x v="22"/>
          </reference>
          <reference field="1" count="1" selected="0">
            <x v="0"/>
          </reference>
        </references>
      </pivotArea>
    </chartFormat>
    <chartFormat chart="9" format="28">
      <pivotArea type="data" outline="0" fieldPosition="0">
        <references count="3">
          <reference field="4294967294" count="1" selected="0">
            <x v="0"/>
          </reference>
          <reference field="0" count="1" selected="0">
            <x v="21"/>
          </reference>
          <reference field="1" count="1" selected="0">
            <x v="0"/>
          </reference>
        </references>
      </pivotArea>
    </chartFormat>
    <chartFormat chart="9" format="29">
      <pivotArea type="data" outline="0" fieldPosition="0">
        <references count="3">
          <reference field="4294967294" count="1" selected="0">
            <x v="0"/>
          </reference>
          <reference field="0" count="1" selected="0">
            <x v="20"/>
          </reference>
          <reference field="1" count="1" selected="0">
            <x v="0"/>
          </reference>
        </references>
      </pivotArea>
    </chartFormat>
    <chartFormat chart="9" format="30">
      <pivotArea type="data" outline="0" fieldPosition="0">
        <references count="3">
          <reference field="4294967294" count="1" selected="0">
            <x v="0"/>
          </reference>
          <reference field="0" count="1" selected="0">
            <x v="19"/>
          </reference>
          <reference field="1" count="1" selected="0">
            <x v="0"/>
          </reference>
        </references>
      </pivotArea>
    </chartFormat>
    <chartFormat chart="9" format="31">
      <pivotArea type="data" outline="0" fieldPosition="0">
        <references count="3">
          <reference field="4294967294" count="1" selected="0">
            <x v="0"/>
          </reference>
          <reference field="0" count="1" selected="0">
            <x v="18"/>
          </reference>
          <reference field="1" count="1" selected="0">
            <x v="0"/>
          </reference>
        </references>
      </pivotArea>
    </chartFormat>
    <chartFormat chart="9" format="32">
      <pivotArea type="data" outline="0" fieldPosition="0">
        <references count="3">
          <reference field="4294967294" count="1" selected="0">
            <x v="0"/>
          </reference>
          <reference field="0" count="1" selected="0">
            <x v="16"/>
          </reference>
          <reference field="1" count="1" selected="0">
            <x v="0"/>
          </reference>
        </references>
      </pivotArea>
    </chartFormat>
    <chartFormat chart="9" format="33">
      <pivotArea type="data" outline="0" fieldPosition="0">
        <references count="3">
          <reference field="4294967294" count="1" selected="0">
            <x v="0"/>
          </reference>
          <reference field="0" count="1" selected="0">
            <x v="15"/>
          </reference>
          <reference field="1" count="1" selected="0">
            <x v="0"/>
          </reference>
        </references>
      </pivotArea>
    </chartFormat>
    <chartFormat chart="9" format="34">
      <pivotArea type="data" outline="0" fieldPosition="0">
        <references count="3">
          <reference field="4294967294" count="1" selected="0">
            <x v="0"/>
          </reference>
          <reference field="0" count="1" selected="0">
            <x v="17"/>
          </reference>
          <reference field="1" count="1" selected="0">
            <x v="0"/>
          </reference>
        </references>
      </pivotArea>
    </chartFormat>
  </chartFormats>
  <pivotHierarchies count="5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caption="Rating By Customers"/>
    <pivotHierarchy dragToData="1" caption="Max of Rating"/>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8" showRowHeaders="1" showColHeaders="1" showRowStripes="0" showColStripes="0" showLastColumn="1"/>
  <filters count="1">
    <filter fld="0" type="count" id="1" iMeasureHier="33">
      <autoFilter ref="A1">
        <filterColumn colId="0">
          <top10 val="10" filterVal="10"/>
        </filterColumn>
      </autoFilter>
    </filter>
  </filters>
  <rowHierarchiesUsage count="2">
    <rowHierarchyUsage hierarchyUsage="27"/>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80 CEREALS]"/>
        <x15:activeTabTopLevelEntity name="[Nutrient Dens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1AF8B6-734F-46C3-B72B-3115B62585CB}" name="Product type" cacheId="2" applyNumberFormats="0" applyBorderFormats="0" applyFontFormats="0" applyPatternFormats="0" applyAlignmentFormats="0" applyWidthHeightFormats="1" dataCaption="Values" tag="bd511acc-cf9d-4cbb-89d1-e85f49dc4001" updatedVersion="8" minRefreshableVersion="3" preserveFormatting="0" subtotalHiddenItems="1" rowGrandTotals="0" colGrandTotals="0" itemPrintTitles="1" createdVersion="8" indent="0" outline="1" outlineData="1" multipleFieldFilters="0">
  <location ref="L25:M27" firstHeaderRow="1"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x v="1"/>
    </i>
  </rowItems>
  <colItems count="1">
    <i/>
  </colItems>
  <dataFields count="1">
    <dataField name="Distinct Count of Cereal Name" fld="1" subtotal="count" baseField="0" baseItem="0">
      <extLst>
        <ext xmlns:x15="http://schemas.microsoft.com/office/spreadsheetml/2010/11/main" uri="{FABC7310-3BB5-11E1-824E-6D434824019B}">
          <x15:dataField isCountDistinct="1"/>
        </ext>
      </extLst>
    </dataField>
  </dataFields>
  <pivotHierarchies count="5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ereal Name"/>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8"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80 CEREALS]"/>
        <x15:activeTabTopLevelEntity name="[Nutrient Dens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505507B-009C-418B-8962-393A7EC0EC06}" name="Nutrition category" cacheId="3" applyNumberFormats="0" applyBorderFormats="0" applyFontFormats="0" applyPatternFormats="0" applyAlignmentFormats="0" applyWidthHeightFormats="1" dataCaption="Values" tag="53037f90-4614-4daf-8548-fe8cf8e76933" updatedVersion="8" minRefreshableVersion="3" preserveFormatting="0" subtotalHiddenItems="1" rowGrandTotals="0" colGrandTotals="0" itemPrintTitles="1" createdVersion="8" indent="0" outline="1" outlineData="1" multipleFieldFilters="0" chartFormat="35">
  <location ref="L7:M10"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3">
    <i>
      <x/>
    </i>
    <i>
      <x v="1"/>
    </i>
    <i>
      <x v="2"/>
    </i>
  </rowItems>
  <colItems count="1">
    <i/>
  </colItems>
  <dataFields count="1">
    <dataField name="Distinct Count of Cereal Name" fld="1" subtotal="count" baseField="0" baseItem="0">
      <extLst>
        <ext xmlns:x15="http://schemas.microsoft.com/office/spreadsheetml/2010/11/main" uri="{FABC7310-3BB5-11E1-824E-6D434824019B}">
          <x15:dataField isCountDistinct="1"/>
        </ext>
      </extLst>
    </dataField>
  </dataFields>
  <chartFormats count="1">
    <chartFormat chart="10" format="7" series="1">
      <pivotArea type="data" outline="0" fieldPosition="0">
        <references count="1">
          <reference field="4294967294" count="1" selected="0">
            <x v="0"/>
          </reference>
        </references>
      </pivotArea>
    </chartFormat>
  </chartFormats>
  <pivotHierarchies count="5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ereal Name"/>
    <pivotHierarchy dragToData="1" caption="Distinct Count of Cereal Name"/>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8"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80 CEREALS]"/>
        <x15:activeTabTopLevelEntity name="[Nutrient Dens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48FEACF-4FD1-4E82-9007-BF06D57E268A}" name="Manufacturer" cacheId="4" applyNumberFormats="0" applyBorderFormats="0" applyFontFormats="0" applyPatternFormats="0" applyAlignmentFormats="0" applyWidthHeightFormats="1" dataCaption="Values" tag="9738fc9c-cb8b-40c4-ac3a-fdf255660d80" updatedVersion="8" minRefreshableVersion="3" preserveFormatting="0" subtotalHiddenItems="1" rowGrandTotals="0" colGrandTotals="0" itemPrintTitles="1" createdVersion="8" indent="0" outline="1" outlineData="1" multipleFieldFilters="0" chartFormat="33">
  <location ref="B7:C14" firstHeaderRow="1" firstDataRow="1" firstDataCol="1"/>
  <pivotFields count="3">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7">
    <i>
      <x v="2"/>
    </i>
    <i>
      <x v="1"/>
    </i>
    <i>
      <x v="4"/>
    </i>
    <i>
      <x v="5"/>
    </i>
    <i>
      <x v="6"/>
    </i>
    <i>
      <x v="3"/>
    </i>
    <i>
      <x/>
    </i>
  </rowItems>
  <colItems count="1">
    <i/>
  </colItems>
  <dataFields count="1">
    <dataField name="Distinct Count of Cereal Name" fld="1" subtotal="count" baseField="0" baseItem="1">
      <extLst>
        <ext xmlns:x15="http://schemas.microsoft.com/office/spreadsheetml/2010/11/main" uri="{FABC7310-3BB5-11E1-824E-6D434824019B}">
          <x15:dataField isCountDistinct="1"/>
        </ext>
      </extLst>
    </dataField>
  </dataFields>
  <chartFormats count="2">
    <chartFormat chart="4"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5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ereal Name"/>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8"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80 CEREALS]"/>
        <x15:activeTabTopLevelEntity name="[Nutrient Dens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BECDFAC-C9FB-4F7C-A222-F8036651CF6B}" name="Measures" cacheId="1" applyNumberFormats="0" applyBorderFormats="0" applyFontFormats="0" applyPatternFormats="0" applyAlignmentFormats="0" applyWidthHeightFormats="1" dataCaption="Values" tag="bd511acc-cf9d-4cbb-89d1-e85f49dc4001" updatedVersion="8" minRefreshableVersion="3" preserveFormatting="0" subtotalHiddenItems="1" itemPrintTitles="1" createdVersion="8" indent="0" outline="1" outlineData="1" multipleFieldFilters="0">
  <location ref="L39:M40" firstHeaderRow="0" firstDataRow="1" firstDataCol="0"/>
  <pivotFields count="4">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name="Distinct Count of Cereal Name" fld="1" subtotal="count" baseField="0" baseItem="0">
      <extLst>
        <ext xmlns:x15="http://schemas.microsoft.com/office/spreadsheetml/2010/11/main" uri="{FABC7310-3BB5-11E1-824E-6D434824019B}">
          <x15:dataField isCountDistinct="1"/>
        </ext>
      </extLst>
    </dataField>
    <dataField name="Distinct Count of Manufacturer Of Cereal" fld="0" subtotal="count" baseField="0" baseItem="0">
      <extLst>
        <ext xmlns:x15="http://schemas.microsoft.com/office/spreadsheetml/2010/11/main" uri="{FABC7310-3BB5-11E1-824E-6D434824019B}">
          <x15:dataField isCountDistinct="1"/>
        </ext>
      </extLst>
    </dataField>
  </dataFields>
  <pivotHierarchies count="5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Manufacturer Of Cereal"/>
    <pivotHierarchy dragToData="1" caption="Distinct Count of Cereal Name"/>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8"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80 CEREALS]"/>
        <x15:activeTabTopLevelEntity name="[Nutrient Densit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44B38CD6-E3EB-4627-ACDF-B09C58BDE0A9}" autoFormatId="16" applyNumberFormats="0" applyBorderFormats="0" applyFontFormats="0" applyPatternFormats="0" applyAlignmentFormats="0" applyWidthHeightFormats="0">
  <queryTableRefresh nextId="22">
    <queryTableFields count="15">
      <queryTableField id="1" name="Manufacturer Of Cereal" tableColumnId="1"/>
      <queryTableField id="2" name="Cereal Name" tableColumnId="2"/>
      <queryTableField id="3" name="Type" tableColumnId="3"/>
      <queryTableField id="4" name="Rating" tableColumnId="4"/>
      <queryTableField id="5" name="Shelf" tableColumnId="5"/>
      <queryTableField id="6" name="Weight Of One Serving" tableColumnId="6"/>
      <queryTableField id="7" name="Calories" tableColumnId="7"/>
      <queryTableField id="8" name="Protein" tableColumnId="8"/>
      <queryTableField id="16" name="Fibers" tableColumnId="9"/>
      <queryTableField id="10" name="Vitamins" tableColumnId="10"/>
      <queryTableField id="11" name="Potassium" tableColumnId="11"/>
      <queryTableField id="17" name="Complex Carbohydrate" tableColumnId="12"/>
      <queryTableField id="18" name="Fats" tableColumnId="13"/>
      <queryTableField id="14" name="Sugars" tableColumnId="14"/>
      <queryTableField id="15" name="Sodium" tableColumnId="15"/>
    </queryTableFields>
  </queryTableRefresh>
  <extLst>
    <ext xmlns:x15="http://schemas.microsoft.com/office/spreadsheetml/2010/11/main" uri="{883FBD77-0823-4a55-B5E3-86C4891E6966}">
      <x15:queryTable sourceDataName="Query - 80 CEREAL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79CD3795-5EE1-4D82-AEE5-E9429ECA214C}" autoFormatId="16" applyNumberFormats="0" applyBorderFormats="0" applyFontFormats="0" applyPatternFormats="0" applyAlignmentFormats="0" applyWidthHeightFormats="0">
  <queryTableRefresh nextId="15">
    <queryTableFields count="14">
      <queryTableField id="1" name="Cereal Name" tableColumnId="1"/>
      <queryTableField id="2" name="Weight Of One Serving" tableColumnId="2"/>
      <queryTableField id="3" name="Calories" tableColumnId="3"/>
      <queryTableField id="4" name="Vitamins" tableColumnId="4"/>
      <queryTableField id="5" name="Protein Density" tableColumnId="5"/>
      <queryTableField id="6" name="Fiber Density" tableColumnId="6"/>
      <queryTableField id="7" name="Sugar Density" tableColumnId="7"/>
      <queryTableField id="8" name="Potassium Density" tableColumnId="8"/>
      <queryTableField id="9" name="Complex Carbohydrate Density" tableColumnId="9"/>
      <queryTableField id="10" name="Fat Density" tableColumnId="10"/>
      <queryTableField id="11" name="Sodium Density" tableColumnId="11"/>
      <queryTableField id="12" name="Nutrient Density Score" tableColumnId="12"/>
      <queryTableField id="13" name="Nutrient Density Category" tableColumnId="13"/>
      <queryTableField id="14" name="score" tableColumnId="14"/>
    </queryTableFields>
  </queryTableRefresh>
  <extLst>
    <ext xmlns:x15="http://schemas.microsoft.com/office/spreadsheetml/2010/11/main" uri="{883FBD77-0823-4a55-B5E3-86C4891E6966}">
      <x15:queryTable sourceDataName="Query - Nutrient Density"/>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utrient_Density_Category" xr10:uid="{387E3A7B-5763-4893-9102-FDBB288DC41E}" sourceName="[Nutrient Density].[Nutrient Density Category]">
  <pivotTables>
    <pivotTable tabId="1" name="Top 10 in rating"/>
    <pivotTable tabId="1" name="Manufacturer"/>
    <pivotTable tabId="1" name="Measures"/>
    <pivotTable tabId="1" name="Product type"/>
  </pivotTables>
  <data>
    <olap pivotCacheId="255648483">
      <levels count="2">
        <level uniqueName="[Nutrient Density].[Nutrient Density Category].[(All)]" sourceCaption="(All)" count="0"/>
        <level uniqueName="[Nutrient Density].[Nutrient Density Category].[Nutrient Density Category]" sourceCaption="Nutrient Density Category" count="3">
          <ranges>
            <range startItem="0">
              <i n="[Nutrient Density].[Nutrient Density Category].&amp;[Low Nutrient Density]" c="Low Nutrient Density"/>
              <i n="[Nutrient Density].[Nutrient Density Category].&amp;[Moderate Nutrient Density]" c="Moderate Nutrient Density"/>
              <i n="[Nutrient Density].[Nutrient Density Category].&amp;[High Nutrient Density]" c="High Nutrient Density"/>
            </range>
          </ranges>
        </level>
      </levels>
      <selections count="1">
        <selection n="[Nutrient Density].[Nutrient Density Category].[All]"/>
      </selections>
    </olap>
  </data>
  <extLst>
    <x:ext xmlns:x15="http://schemas.microsoft.com/office/spreadsheetml/2010/11/main" uri="{470722E0-AACD-4C17-9CDC-17EF765DBC7E}">
      <x15:slicerCacheHideItemsWithNoData count="1">
        <x15:slicerCacheOlapLevelName uniqueName="[Nutrient Density].[Nutrient Density Category].[Nutrient Density Categor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ufacturer_Of_Cereal" xr10:uid="{85D8FC8F-6238-4D25-9EA1-FFBF986D12CA}" sourceName="[80 CEREALS].[Manufacturer Of Cereal]">
  <pivotTables>
    <pivotTable tabId="1" name="Top 10 in rating"/>
    <pivotTable tabId="1" name="Measures"/>
    <pivotTable tabId="1" name="Nutrition category"/>
    <pivotTable tabId="1" name="Product type"/>
  </pivotTables>
  <data>
    <olap pivotCacheId="255648483">
      <levels count="2">
        <level uniqueName="[80 CEREALS].[Manufacturer Of Cereal].[(All)]" sourceCaption="(All)" count="0"/>
        <level uniqueName="[80 CEREALS].[Manufacturer Of Cereal].[Manufacturer Of Cereal]" sourceCaption="Manufacturer Of Cereal" count="7">
          <ranges>
            <range startItem="0">
              <i n="[80 CEREALS].[Manufacturer Of Cereal].&amp;[American Home Food Products]" c="American Home Food Products"/>
              <i n="[80 CEREALS].[Manufacturer Of Cereal].&amp;[General Mills]" c="General Mills"/>
              <i n="[80 CEREALS].[Manufacturer Of Cereal].&amp;[Kelloggs]" c="Kelloggs"/>
              <i n="[80 CEREALS].[Manufacturer Of Cereal].&amp;[Nabisco]" c="Nabisco"/>
              <i n="[80 CEREALS].[Manufacturer Of Cereal].&amp;[Post]" c="Post"/>
              <i n="[80 CEREALS].[Manufacturer Of Cereal].&amp;[Quaker Oats]" c="Quaker Oats"/>
              <i n="[80 CEREALS].[Manufacturer Of Cereal].&amp;[Ralston Purina]" c="Ralston Purina"/>
            </range>
          </ranges>
        </level>
      </levels>
      <selections count="1">
        <selection n="[80 CEREALS].[Manufacturer Of Cereal].[All]"/>
      </selections>
    </olap>
  </data>
  <extLst>
    <x:ext xmlns:x15="http://schemas.microsoft.com/office/spreadsheetml/2010/11/main" uri="{470722E0-AACD-4C17-9CDC-17EF765DBC7E}">
      <x15:slicerCacheHideItemsWithNoData count="1">
        <x15:slicerCacheOlapLevelName uniqueName="[80 CEREALS].[Manufacturer Of Cereal].[Manufacturer Of Cereal]"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8CD0507-0CB8-4D35-AAF6-80CB39B332BA}" sourceName="[80 CEREALS].[Type]">
  <pivotTables>
    <pivotTable tabId="1" name="Top 10 in rating"/>
  </pivotTables>
  <data>
    <olap pivotCacheId="255648483">
      <levels count="2">
        <level uniqueName="[80 CEREALS].[Type].[(All)]" sourceCaption="(All)" count="0"/>
        <level uniqueName="[80 CEREALS].[Type].[Type]" sourceCaption="Type" count="2">
          <ranges>
            <range startItem="0">
              <i n="[80 CEREALS].[Type].&amp;[Cold]" c="Cold"/>
              <i n="[80 CEREALS].[Type].&amp;[Hot]" c="Hot"/>
            </range>
          </ranges>
        </level>
      </levels>
      <selections count="1">
        <selection n="[80 CEREALS].[Typ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 xr10:uid="{FF1E9089-4B63-4BD8-B569-4DDBFB872211}" sourceName="[80 CEREALS].[Type]">
  <pivotTables>
    <pivotTable tabId="1" name="Detailed view"/>
    <pivotTable tabId="1" name="Detailed view measures"/>
  </pivotTables>
  <data>
    <olap pivotCacheId="494113927">
      <levels count="2">
        <level uniqueName="[80 CEREALS].[Type].[(All)]" sourceCaption="(All)" count="0"/>
        <level uniqueName="[80 CEREALS].[Type].[Type]" sourceCaption="Type" count="2">
          <ranges>
            <range startItem="0">
              <i n="[80 CEREALS].[Type].&amp;[Cold]" c="Cold"/>
              <i n="[80 CEREALS].[Type].&amp;[Hot]" c="Hot"/>
            </range>
          </ranges>
        </level>
      </levels>
      <selections count="1">
        <selection n="[80 CEREALS].[Type].[All]"/>
      </selections>
    </olap>
  </data>
  <extLst>
    <x:ext xmlns:x15="http://schemas.microsoft.com/office/spreadsheetml/2010/11/main" uri="{470722E0-AACD-4C17-9CDC-17EF765DBC7E}">
      <x15:slicerCacheHideItemsWithNoData count="1">
        <x15:slicerCacheOlapLevelName uniqueName="[80 CEREALS].[Type].[Type]" count="0"/>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ufacturer_Of_Cereal1" xr10:uid="{EF9179F0-786A-4EB1-97AF-D3421874D8E0}" sourceName="[80 CEREALS].[Manufacturer Of Cereal]">
  <pivotTables>
    <pivotTable tabId="1" name="Detailed view"/>
    <pivotTable tabId="1" name="Detailed view measures"/>
  </pivotTables>
  <data>
    <olap pivotCacheId="494113927">
      <levels count="2">
        <level uniqueName="[80 CEREALS].[Manufacturer Of Cereal].[(All)]" sourceCaption="(All)" count="0"/>
        <level uniqueName="[80 CEREALS].[Manufacturer Of Cereal].[Manufacturer Of Cereal]" sourceCaption="Manufacturer Of Cereal" count="7">
          <ranges>
            <range startItem="0">
              <i n="[80 CEREALS].[Manufacturer Of Cereal].&amp;[American Home Food Products]" c="American Home Food Products"/>
              <i n="[80 CEREALS].[Manufacturer Of Cereal].&amp;[General Mills]" c="General Mills"/>
              <i n="[80 CEREALS].[Manufacturer Of Cereal].&amp;[Kelloggs]" c="Kelloggs"/>
              <i n="[80 CEREALS].[Manufacturer Of Cereal].&amp;[Nabisco]" c="Nabisco"/>
              <i n="[80 CEREALS].[Manufacturer Of Cereal].&amp;[Post]" c="Post"/>
              <i n="[80 CEREALS].[Manufacturer Of Cereal].&amp;[Quaker Oats]" c="Quaker Oats"/>
              <i n="[80 CEREALS].[Manufacturer Of Cereal].&amp;[Ralston Purina]" c="Ralston Purina"/>
            </range>
          </ranges>
        </level>
      </levels>
      <selections count="1">
        <selection n="[80 CEREALS].[Manufacturer Of Cereal].[All]"/>
      </selections>
    </olap>
  </data>
  <extLst>
    <x:ext xmlns:x15="http://schemas.microsoft.com/office/spreadsheetml/2010/11/main" uri="{470722E0-AACD-4C17-9CDC-17EF765DBC7E}">
      <x15:slicerCacheHideItemsWithNoData count="1">
        <x15:slicerCacheOlapLevelName uniqueName="[80 CEREALS].[Manufacturer Of Cereal].[Manufacturer Of Cereal]" count="0"/>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utrient_Density_Category1" xr10:uid="{5B5E3520-8749-446F-8520-6886814B58EA}" sourceName="[Nutrient Density].[Nutrient Density Category]">
  <pivotTables>
    <pivotTable tabId="1" name="Detailed view"/>
    <pivotTable tabId="1" name="Detailed view measures"/>
  </pivotTables>
  <data>
    <olap pivotCacheId="494113927">
      <levels count="2">
        <level uniqueName="[Nutrient Density].[Nutrient Density Category].[(All)]" sourceCaption="(All)" count="0"/>
        <level uniqueName="[Nutrient Density].[Nutrient Density Category].[Nutrient Density Category]" sourceCaption="Nutrient Density Category" count="3">
          <ranges>
            <range startItem="0">
              <i n="[Nutrient Density].[Nutrient Density Category].&amp;[Low Nutrient Density]" c="Low Nutrient Density"/>
              <i n="[Nutrient Density].[Nutrient Density Category].&amp;[Moderate Nutrient Density]" c="Moderate Nutrient Density"/>
              <i n="[Nutrient Density].[Nutrient Density Category].&amp;[High Nutrient Density]" c="High Nutrient Density"/>
            </range>
          </ranges>
        </level>
      </levels>
      <selections count="1">
        <selection n="[Nutrient Density].[Nutrient Density Category].[All]"/>
      </selections>
    </olap>
  </data>
  <extLst>
    <x:ext xmlns:x15="http://schemas.microsoft.com/office/spreadsheetml/2010/11/main" uri="{470722E0-AACD-4C17-9CDC-17EF765DBC7E}">
      <x15:slicerCacheHideItemsWithNoData count="1">
        <x15:slicerCacheOlapLevelName uniqueName="[Nutrient Density].[Nutrient Density Category].[Nutrient Density Category]"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utrient Density Category" xr10:uid="{8F07FC48-F8BC-4A04-B405-22A781DD23B9}" cache="Slicer_Nutrient_Density_Category" caption="Nutrient Density Category" level="1"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utrient Density Category 1" xr10:uid="{418D427E-FAFD-49B1-8CAF-21FD4DC3D647}" cache="Slicer_Nutrient_Density_Category" caption="Nutrient Category" level="1" style="SlicerStyleLight4 2" rowHeight="247650"/>
  <slicer name="Nutrient Density Category 2" xr10:uid="{3F8B7EC2-6924-41A4-916B-F9E94469D1CC}" cache="Slicer_Nutrient_Density_Category" caption="Nutrient Category" level="1" style="SlicerStyleLight4 2" rowHeight="247650"/>
  <slicer name="Nutrient Density Category 4" xr10:uid="{D76B9561-B472-410A-BFB9-7E98D579B430}" cache="Slicer_Nutrient_Density_Category" caption="Nutrient Category" level="1" style="SlicerStyleLight4 2" rowHeight="247650"/>
  <slicer name="Nutrient Density Category 5" xr10:uid="{B07E5123-4710-48B0-8BC4-A441FD164967}" cache="Slicer_Nutrient_Density_Category" caption="Nutrient Category" level="1" style="SlicerStyleLight4 2" rowHeight="247650"/>
  <slicer name="Nutrient Density Category 6" xr10:uid="{A13BC1A6-DBF1-41CF-BEFC-39A519E45766}" cache="Slicer_Nutrient_Density_Category" caption="Nutrient Category" level="1" style="SlicerStyleLight4 2" rowHeight="247650"/>
  <slicer name="Nutrient Density Category 7" xr10:uid="{0054DF10-98C0-4A26-812E-7F215B42EEA6}" cache="Slicer_Nutrient_Density_Category" caption="Nutrient Category" level="1" style="SlicerStyleLight4 2" rowHeight="247650"/>
  <slicer name="Nutrient Density Category 8" xr10:uid="{2F336186-E190-46CB-B2B0-BCCE5DD96FD5}" cache="Slicer_Nutrient_Density_Category" caption="Nutrient Category" level="1" style="SlicerStyleLight4 2" rowHeight="247650"/>
  <slicer name="Nutrient Density Category 9" xr10:uid="{2C351ECB-E538-4477-8739-CA0071EDD431}" cache="Slicer_Nutrient_Density_Category" caption="Nutrient Category" level="1" style="SlicerStyleLight4 2" rowHeight="247650"/>
  <slicer name="Nutrient Density Category 10" xr10:uid="{B4EA9E14-E4B8-49D4-A763-ECDC273F3F39}" cache="Slicer_Nutrient_Density_Category" caption="Nutrient Category" level="1" style="SlicerStyleLight4 2" rowHeight="247650"/>
  <slicer name="Nutrient Density Category 43" xr10:uid="{90BE3891-5723-4D82-A478-E0B8AEE5A263}" cache="Slicer_Nutrient_Density_Category" caption="Nutrient Category" level="1" style="SlicerStyleLight4 2" rowHeight="247650"/>
  <slicer name="Nutrient Density Category 44" xr10:uid="{41BE00E1-8CF1-433B-B0D4-D4E3C4B285A0}" cache="Slicer_Nutrient_Density_Category" caption="Nutrient Category" level="1" style="SlicerStyleLight4 2" rowHeight="247650"/>
  <slicer name="Nutrient Density Category 45" xr10:uid="{C5EDC1CC-A30E-4A00-9560-0C7250E6C59B}" cache="Slicer_Nutrient_Density_Category" caption="Nutrient Category" level="1" style="SlicerStyleLight4 2" rowHeight="247650"/>
  <slicer name="Nutrient Density Category 46" xr10:uid="{072B9EFD-D548-4CE6-A95E-75FB28B6C96F}" cache="Slicer_Nutrient_Density_Category" caption="Nutrient Category" level="1" style="SlicerStyleLight4 2" rowHeight="247650"/>
  <slicer name="Nutrient Density Category 47" xr10:uid="{DD9E8405-4171-463A-9977-5CFD80E5C11C}" cache="Slicer_Nutrient_Density_Category" caption="Nutrient Category" level="1" style="SlicerStyleLight4 2" rowHeight="247650"/>
  <slicer name="Nutrient Density Category 48" xr10:uid="{78840224-096F-4359-B64D-570FCADCDFC9}" cache="Slicer_Nutrient_Density_Category" caption="Nutrient Category" level="1" style="SlicerStyleLight4 2" rowHeight="247650"/>
  <slicer name="Nutrient Density Category 49" xr10:uid="{E4401F47-C421-4BF2-A3CF-43FEDE12936B}" cache="Slicer_Nutrient_Density_Category" caption="Nutrient Category" level="1" style="SlicerStyleLight4 2" rowHeight="247650"/>
  <slicer name="Nutrient Density Category 50" xr10:uid="{E9EB3460-371B-43D6-AD87-70775F796F42}" cache="Slicer_Nutrient_Density_Category" caption="Nutrient Category" level="1" style="SlicerStyleLight4 2" rowHeight="247650"/>
  <slicer name="Manufacturer Of Cereal" xr10:uid="{80144DCC-2203-455C-BC7B-311815B35D40}" cache="Slicer_Manufacturer_Of_Cereal" caption="Manufacturer" level="1" style="SlicerStyleLight4 2" rowHeight="247650"/>
  <slicer name="Manufacturer Of Cereal 1" xr10:uid="{F6C97F9C-0AF9-4424-BFCA-F778ABED78A8}" cache="Slicer_Manufacturer_Of_Cereal" caption="Manufacturer" level="1" style="SlicerStyleLight4 2" rowHeight="247650"/>
  <slicer name="Manufacturer Of Cereal 3" xr10:uid="{A00D732B-1704-428A-BC9A-DFF9D998DEB5}" cache="Slicer_Manufacturer_Of_Cereal" caption="Manufacturer" level="1" style="SlicerStyleLight4 2" rowHeight="247650"/>
  <slicer name="Manufacturer Of Cereal 4" xr10:uid="{C13B77F0-5F45-4144-ABC3-73DAAC3444E5}" cache="Slicer_Manufacturer_Of_Cereal" caption="Manufacturer" level="1" style="SlicerStyleLight4 2" rowHeight="247650"/>
  <slicer name="Manufacturer Of Cereal 5" xr10:uid="{F97EB610-ED31-4261-847B-C580B98FB916}" cache="Slicer_Manufacturer_Of_Cereal" caption="Manufacturer" level="1" style="SlicerStyleLight4 2" rowHeight="247650"/>
  <slicer name="Manufacturer Of Cereal 6" xr10:uid="{84CD5ADD-40CF-45F6-9A7D-0F0BC8CDD2DE}" cache="Slicer_Manufacturer_Of_Cereal" caption="Manufacturer" level="1" style="SlicerStyleLight4 2" rowHeight="247650"/>
  <slicer name="Manufacturer Of Cereal 7" xr10:uid="{13B5A168-5329-4F12-BCCA-4D6FF87A76A1}" cache="Slicer_Manufacturer_Of_Cereal" caption="Manufacturer" level="1" style="SlicerStyleLight4 2" rowHeight="247650"/>
  <slicer name="Manufacturer Of Cereal 8" xr10:uid="{E078028E-8771-4DA3-BBD1-5BD7E01AE894}" cache="Slicer_Manufacturer_Of_Cereal" caption="Manufacturer" level="1" style="SlicerStyleLight4 2" rowHeight="247650"/>
  <slicer name="Manufacturer Of Cereal 9" xr10:uid="{34DF3A5B-6085-4A75-8237-E026238BC949}" cache="Slicer_Manufacturer_Of_Cereal" caption="Manufacturer" level="1" style="SlicerStyleLight4 2" rowHeight="247650"/>
  <slicer name="Manufacturer Of Cereal 42" xr10:uid="{0B0B9ECD-BD4D-4505-9E6B-D0E8CAE53CA0}" cache="Slicer_Manufacturer_Of_Cereal" caption="Manufacturer" level="1" style="SlicerStyleLight4 2" rowHeight="247650"/>
  <slicer name="Manufacturer Of Cereal 43" xr10:uid="{05C103B5-81D9-40A5-A635-B873E470A1E3}" cache="Slicer_Manufacturer_Of_Cereal" caption="Manufacturer" level="1" style="SlicerStyleLight4 2" rowHeight="247650"/>
  <slicer name="Manufacturer Of Cereal 44" xr10:uid="{2BBF377F-9065-4E9D-9023-B02EB5A547F1}" cache="Slicer_Manufacturer_Of_Cereal" caption="Manufacturer" level="1" style="SlicerStyleLight4 2" rowHeight="247650"/>
  <slicer name="Manufacturer Of Cereal 45" xr10:uid="{F35765D7-9C1D-40A5-9EF8-96BF9C4347E3}" cache="Slicer_Manufacturer_Of_Cereal" caption="Manufacturer" level="1" style="SlicerStyleLight4 2" rowHeight="247650"/>
  <slicer name="Manufacturer Of Cereal 46" xr10:uid="{91D9A340-CF83-4405-AE8C-AE3693B4ABF4}" cache="Slicer_Manufacturer_Of_Cereal" caption="Manufacturer" level="1" style="SlicerStyleLight4 2" rowHeight="247650"/>
  <slicer name="Manufacturer Of Cereal 47" xr10:uid="{A64D89CC-DC59-4E44-9F74-E41B8868B1ED}" cache="Slicer_Manufacturer_Of_Cereal" caption="Manufacturer" level="1" style="SlicerStyleLight4 2" rowHeight="247650"/>
  <slicer name="Manufacturer Of Cereal 48" xr10:uid="{6F04CE0C-BCD1-41A7-996C-AFB180D72BA8}" cache="Slicer_Manufacturer_Of_Cereal" caption="Manufacturer" level="1" style="SlicerStyleLight4 2" rowHeight="247650"/>
  <slicer name="Manufacturer Of Cereal 49" xr10:uid="{59D7B992-81E3-41EC-9804-CB88A811D85A}" cache="Slicer_Manufacturer_Of_Cereal" caption="Manufacturer" level="1" style="SlicerStyleLight4 2" rowHeight="247650"/>
  <slicer name="Type" xr10:uid="{74FDA2D6-0841-4E61-A662-9E37D80F6460}" cache="Slicer_Type" caption="Type" level="1" style="SlicerStyleLight4 2" rowHeight="247650"/>
  <slicer name="Type 1" xr10:uid="{1750DDFC-4D32-46BE-B891-0C5E0CD08244}" cache="Slicer_Type" caption="Type" level="1" style="SlicerStyleLight4 2" rowHeight="247650"/>
  <slicer name="Type 3" xr10:uid="{41469A5A-ED14-4244-B6F8-BE11376252C3}" cache="Slicer_Type" caption="Type" level="1" style="SlicerStyleLight4 2" rowHeight="247650"/>
  <slicer name="Type 4" xr10:uid="{CF31C68D-891B-4441-9798-25D0F11699D1}" cache="Slicer_Type" caption="Type" level="1" style="SlicerStyleLight4 2" rowHeight="247650"/>
  <slicer name="Type 5" xr10:uid="{FAD77665-D58A-4016-9F76-160A6AB5FE71}" cache="Slicer_Type" caption="Type" level="1" style="SlicerStyleLight4 2" rowHeight="247650"/>
  <slicer name="Type 6" xr10:uid="{82B23076-6636-4E27-83DC-D24857901156}" cache="Slicer_Type" caption="Type" level="1" style="SlicerStyleLight4 2" rowHeight="247650"/>
  <slicer name="Type 7" xr10:uid="{D88C8DC2-30A4-4CA1-967F-04B7555916F1}" cache="Slicer_Type" caption="Type" level="1" style="SlicerStyleLight4 2" rowHeight="247650"/>
  <slicer name="Type 8" xr10:uid="{F006E58A-08FD-4324-B56A-1BDEB2E9E680}" cache="Slicer_Type" caption="Type" level="1" style="SlicerStyleLight4 2" rowHeight="247650"/>
  <slicer name="Type 9" xr10:uid="{D2BB84B8-2D2E-41F9-A7DD-DD0CFABB0D71}" cache="Slicer_Type" caption="Type" level="1" style="SlicerStyleLight4 2" rowHeight="247650"/>
  <slicer name="Type 42" xr10:uid="{7B37E8ED-044B-4CF0-8994-C99EF67BD76E}" cache="Slicer_Type" caption="Type" level="1" style="SlicerStyleLight4 2" rowHeight="247650"/>
  <slicer name="Type 43" xr10:uid="{5C65EA57-513E-4AC0-BB22-3906C2E49AD9}" cache="Slicer_Type" caption="Type" level="1" style="SlicerStyleLight4 2" rowHeight="247650"/>
  <slicer name="Type 44" xr10:uid="{9055AE3A-44F8-4480-8CB1-DEB88AAD33F8}" cache="Slicer_Type" caption="Type" level="1" style="SlicerStyleLight4 2" rowHeight="247650"/>
  <slicer name="Type 45" xr10:uid="{EAEE064F-B53D-407F-AAE8-18FF21FF6C02}" cache="Slicer_Type" caption="Type" level="1" style="SlicerStyleLight4 2" rowHeight="247650"/>
  <slicer name="Type 46" xr10:uid="{EA4306EE-A6BC-4825-B7E0-3090EE4AAFD5}" cache="Slicer_Type" caption="Type" level="1" style="SlicerStyleLight4 2" rowHeight="247650"/>
  <slicer name="Type 47" xr10:uid="{5DF77A7D-AF75-42EC-B3E9-44AD353B89A5}" cache="Slicer_Type" caption="Type" level="1" style="SlicerStyleLight4 2" rowHeight="247650"/>
  <slicer name="Type 48" xr10:uid="{E7C89EB4-8847-48B0-83B3-A76701AF3C11}" cache="Slicer_Type" caption="Type" level="1" style="SlicerStyleLight4 2" rowHeight="247650"/>
  <slicer name="Type 49" xr10:uid="{C395E4F9-8A6D-42EB-8307-F2DDAFC1E804}" cache="Slicer_Type" caption="Type" level="1" style="SlicerStyleLight4 2"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2" xr10:uid="{CED71062-BC86-48E0-9F94-CB6A15B325E9}" cache="Slicer_Type1" caption="Product Type" level="1" style="SlicerStyleLight4 2" rowHeight="247650"/>
  <slicer name="Type 10" xr10:uid="{991488E9-8D78-4FD9-A965-B99228E41948}" cache="Slicer_Type1" caption="Product Type" level="1" style="SlicerStyleLight4 2" rowHeight="247650"/>
  <slicer name="Type 11" xr10:uid="{120AC824-5A74-485D-8DB9-0B4DFBC422A3}" cache="Slicer_Type1" caption="Product Type" level="1" style="SlicerStyleLight4 2" rowHeight="247650"/>
  <slicer name="Type 12" xr10:uid="{52588496-EE8C-4B38-A9A5-4318AB4F081F}" cache="Slicer_Type1" caption="Product Type" level="1" style="SlicerStyleLight4 2" rowHeight="247650"/>
  <slicer name="Type 13" xr10:uid="{98A59AEE-753F-4B6F-B29D-7560AEF59F5A}" cache="Slicer_Type1" caption="Product Type" level="1" style="SlicerStyleLight4 2" rowHeight="247650"/>
  <slicer name="Type 14" xr10:uid="{6173F308-8B25-459F-A0AC-515324D5107F}" cache="Slicer_Type1" caption="Product Type" level="1" style="SlicerStyleLight4 2" rowHeight="247650"/>
  <slicer name="Type 15" xr10:uid="{69C23D0A-F454-4E65-BB02-603F2EE4747B}" cache="Slicer_Type1" caption="Product Type" level="1" style="SlicerStyleLight4 2" rowHeight="247650"/>
  <slicer name="Type 16" xr10:uid="{77BFFFDB-0EBE-48F8-B3B5-10C834D27A48}" cache="Slicer_Type1" caption="Product Type" level="1" style="SlicerStyleLight4 2" rowHeight="247650"/>
  <slicer name="Type 17" xr10:uid="{4C4182C9-20B6-4FC4-A049-578D562BF170}" cache="Slicer_Type1" caption="Product Type" level="1" style="SlicerStyleLight4 2" rowHeight="247650"/>
  <slicer name="Type 18" xr10:uid="{156A2169-27B1-433D-9D02-8CDCC585253B}" cache="Slicer_Type1" caption="Product Type" level="1" style="SlicerStyleLight4 2" rowHeight="247650"/>
  <slicer name="Type 19" xr10:uid="{327DA568-2B5C-4ED2-9425-E96D613A48DD}" cache="Slicer_Type1" caption="Product Type" level="1" style="SlicerStyleLight4 2" rowHeight="247650"/>
  <slicer name="Type 20" xr10:uid="{9F5F9C89-7662-45FF-8839-D7E7E5B59C01}" cache="Slicer_Type1" caption="Product Type" level="1" style="SlicerStyleLight4 2" rowHeight="247650"/>
  <slicer name="Type 21" xr10:uid="{66971087-6FB6-4A28-B57B-4AC0816E9644}" cache="Slicer_Type1" caption="Product Type" level="1" style="SlicerStyleLight4 2" rowHeight="247650"/>
  <slicer name="Type 22" xr10:uid="{EF929A8E-6023-442F-95ED-ED20AD110680}" cache="Slicer_Type1" caption="Product Type" level="1" style="SlicerStyleLight4 2" rowHeight="247650"/>
  <slicer name="Type 23" xr10:uid="{FE23B32A-2DB1-4305-87D0-ADF887FBFE76}" cache="Slicer_Type1" caption="Product Type" level="1" style="SlicerStyleLight4 2" rowHeight="247650"/>
  <slicer name="Type 24" xr10:uid="{57A89035-B87D-48ED-838A-DAEC4C3DBDEF}" cache="Slicer_Type1" caption="Product Type" level="1" style="SlicerStyleLight4 2" rowHeight="247650"/>
  <slicer name="Type 25" xr10:uid="{B72FEC25-8190-4CEF-8419-20A8C5E7BAA8}" cache="Slicer_Type1" caption="Product Type" level="1" style="SlicerStyleLight4 2" rowHeight="247650"/>
  <slicer name="Type 26" xr10:uid="{6799E9E0-B824-44EE-92E2-04F25056679C}" cache="Slicer_Type1" caption="Product Type" level="1" style="SlicerStyleLight4 2" rowHeight="247650"/>
  <slicer name="Type 27" xr10:uid="{97057C1E-CD79-4695-AA64-5D5F132791D2}" cache="Slicer_Type1" caption="Product Type" level="1" style="SlicerStyleLight4 2" rowHeight="247650"/>
  <slicer name="Type 28" xr10:uid="{D0147493-3C33-4359-AEC6-8C19968A4B14}" cache="Slicer_Type1" caption="Product Type" level="1" style="SlicerStyleLight4 2" rowHeight="247650"/>
  <slicer name="Type 29" xr10:uid="{8B6CC0E8-8AC9-42EC-97D1-CBB3644CE77C}" cache="Slicer_Type1" caption="Product Type" level="1" style="SlicerStyleLight4 2" rowHeight="247650"/>
  <slicer name="Type 30" xr10:uid="{964173D2-8435-44BD-97F8-E4DD87E31EF1}" cache="Slicer_Type1" caption="Product Type" level="1" style="SlicerStyleLight4 2" rowHeight="247650"/>
  <slicer name="Type 31" xr10:uid="{C4CA48ED-A76A-4358-82C8-F7FF370839FB}" cache="Slicer_Type1" caption="Product Type" level="1" style="SlicerStyleLight4 2" rowHeight="247650"/>
  <slicer name="Type 32" xr10:uid="{9F24DD92-18A4-4C10-9250-B014D6526A30}" cache="Slicer_Type1" caption="Product Type" level="1" style="SlicerStyleLight4 2" rowHeight="247650"/>
  <slicer name="Type 33" xr10:uid="{5E4D6941-DDA4-473E-8431-450EC4D2598C}" cache="Slicer_Type1" caption="Product Type" level="1" style="SlicerStyleLight4 2" rowHeight="247650"/>
  <slicer name="Type 34" xr10:uid="{C48BC419-8D94-422A-A0A6-D47CF3B26AC7}" cache="Slicer_Type1" caption="Product Type" level="1" style="SlicerStyleLight4 2" rowHeight="247650"/>
  <slicer name="Type 35" xr10:uid="{D82D68C0-9CE5-4EA7-87DC-0D3BF2E27310}" cache="Slicer_Type1" caption="Product Type" level="1" style="SlicerStyleLight4 2" rowHeight="247650"/>
  <slicer name="Type 36" xr10:uid="{0027AF70-CEF9-409A-8D1E-D2661D1AAF35}" cache="Slicer_Type1" caption="Product Type" level="1" style="SlicerStyleLight4 2" rowHeight="247650"/>
  <slicer name="Type 37" xr10:uid="{197DF7FF-2323-4B62-BE33-745ECF3E60D6}" cache="Slicer_Type1" caption="Product Type" level="1" style="SlicerStyleLight4 2" rowHeight="247650"/>
  <slicer name="Type 38" xr10:uid="{6CDFCA91-2EFE-424A-BC1B-6CD8CA532168}" cache="Slicer_Type1" caption="Product Type" level="1" style="SlicerStyleLight4 2" rowHeight="247650"/>
  <slicer name="Type 39" xr10:uid="{8295FEF0-1355-4B34-9BF7-53853AACC437}" cache="Slicer_Type1" caption="Product Type" level="1" style="SlicerStyleLight4 2" rowHeight="247650"/>
  <slicer name="Type 40" xr10:uid="{AAC33B9D-E8E1-43A4-BF9D-55E1166AEC9C}" cache="Slicer_Type1" caption="Product Type" level="1" style="SlicerStyleLight4 2" rowHeight="247650"/>
  <slicer name="Type 41" xr10:uid="{118B2DBA-C521-4FD2-97D1-6F6F423DDF1F}" cache="Slicer_Type1" caption="Product Type" level="1" style="SlicerStyleLight4 2" rowHeight="247650"/>
  <slicer name="Manufacturer Of Cereal 2" xr10:uid="{128B071C-5620-4312-81C3-3D71C1EE6C56}" cache="Slicer_Manufacturer_Of_Cereal1" caption="Manufacturer" level="1" style="SlicerStyleLight4 2" rowHeight="247650"/>
  <slicer name="Manufacturer Of Cereal 10" xr10:uid="{9B6266A1-A088-428C-9F1D-8B0752613700}" cache="Slicer_Manufacturer_Of_Cereal1" caption="Manufacturer" level="1" style="SlicerStyleLight4 2" rowHeight="247650"/>
  <slicer name="Manufacturer Of Cereal 11" xr10:uid="{E70E5844-232F-48A1-9DDC-FB91F977F01C}" cache="Slicer_Manufacturer_Of_Cereal1" caption="Manufacturer" level="1" style="SlicerStyleLight4 2" rowHeight="247650"/>
  <slicer name="Manufacturer Of Cereal 12" xr10:uid="{B64D1183-D80D-4F14-B5D4-63BC9D089179}" cache="Slicer_Manufacturer_Of_Cereal1" caption="Manufacturer" level="1" style="SlicerStyleLight4 2" rowHeight="247650"/>
  <slicer name="Manufacturer Of Cereal 13" xr10:uid="{17860226-6925-411A-94F6-715C16AD6C20}" cache="Slicer_Manufacturer_Of_Cereal1" caption="Manufacturer" level="1" style="SlicerStyleLight4 2" rowHeight="247650"/>
  <slicer name="Manufacturer Of Cereal 14" xr10:uid="{89E77A37-FB5B-48D9-99A5-D038C5DA2E6F}" cache="Slicer_Manufacturer_Of_Cereal1" caption="Manufacturer" level="1" style="SlicerStyleLight4 2" rowHeight="247650"/>
  <slicer name="Manufacturer Of Cereal 15" xr10:uid="{B9BA66FD-FF6E-4274-874B-14FF6A7FC2CE}" cache="Slicer_Manufacturer_Of_Cereal1" caption="Manufacturer" level="1" style="SlicerStyleLight4 2" rowHeight="247650"/>
  <slicer name="Manufacturer Of Cereal 16" xr10:uid="{3C646FD1-61EA-492A-AF04-903BF991A217}" cache="Slicer_Manufacturer_Of_Cereal1" caption="Manufacturer" level="1" style="SlicerStyleLight4 2" rowHeight="247650"/>
  <slicer name="Manufacturer Of Cereal 17" xr10:uid="{5105A202-F911-4951-9C6B-BA0C150A7C42}" cache="Slicer_Manufacturer_Of_Cereal1" caption="Manufacturer" level="1" style="SlicerStyleLight4 2" rowHeight="247650"/>
  <slicer name="Manufacturer Of Cereal 18" xr10:uid="{0ECF8CCA-6CE2-4BF5-812B-067E339DE191}" cache="Slicer_Manufacturer_Of_Cereal1" caption="Manufacturer" level="1" style="SlicerStyleLight4 2" rowHeight="247650"/>
  <slicer name="Manufacturer Of Cereal 19" xr10:uid="{BCB2AD74-26D5-4B9B-BB61-DF5AF185F1EA}" cache="Slicer_Manufacturer_Of_Cereal1" caption="Manufacturer" level="1" style="SlicerStyleLight4 2" rowHeight="247650"/>
  <slicer name="Manufacturer Of Cereal 20" xr10:uid="{3710EC9C-4F92-4841-A512-224AE9E48344}" cache="Slicer_Manufacturer_Of_Cereal1" caption="Manufacturer" level="1" style="SlicerStyleLight4 2" rowHeight="247650"/>
  <slicer name="Manufacturer Of Cereal 21" xr10:uid="{5E8D13A7-F5D1-4D3D-B2C7-F43CA46FCF4E}" cache="Slicer_Manufacturer_Of_Cereal1" caption="Manufacturer" level="1" style="SlicerStyleLight4 2" rowHeight="247650"/>
  <slicer name="Manufacturer Of Cereal 22" xr10:uid="{8FF27165-9636-48BD-8D75-282DD285638C}" cache="Slicer_Manufacturer_Of_Cereal1" caption="Manufacturer" level="1" style="SlicerStyleLight4 2" rowHeight="247650"/>
  <slicer name="Manufacturer Of Cereal 23" xr10:uid="{C6056D9C-B376-422A-8601-3BEFC3A99104}" cache="Slicer_Manufacturer_Of_Cereal1" caption="Manufacturer" level="1" style="SlicerStyleLight4 2" rowHeight="247650"/>
  <slicer name="Manufacturer Of Cereal 24" xr10:uid="{01641134-353C-4EC5-85C0-62C911F681AE}" cache="Slicer_Manufacturer_Of_Cereal1" caption="Manufacturer" level="1" style="SlicerStyleLight4 2" rowHeight="247650"/>
  <slicer name="Manufacturer Of Cereal 25" xr10:uid="{8F308C07-358D-4142-91A1-563054A4785F}" cache="Slicer_Manufacturer_Of_Cereal1" caption="Manufacturer" level="1" style="SlicerStyleLight4 2" rowHeight="247650"/>
  <slicer name="Manufacturer Of Cereal 26" xr10:uid="{B81D2FEB-3C7F-4D7F-B2D7-E62F13A7E900}" cache="Slicer_Manufacturer_Of_Cereal1" caption="Manufacturer" level="1" style="SlicerStyleLight4 2" rowHeight="247650"/>
  <slicer name="Manufacturer Of Cereal 27" xr10:uid="{F950720D-C630-45D7-8431-22D6D444F7F2}" cache="Slicer_Manufacturer_Of_Cereal1" caption="Manufacturer" level="1" style="SlicerStyleLight4 2" rowHeight="247650"/>
  <slicer name="Manufacturer Of Cereal 28" xr10:uid="{87723C4B-A266-4016-B6B0-049E340421D3}" cache="Slicer_Manufacturer_Of_Cereal1" caption="Manufacturer" level="1" style="SlicerStyleLight4 2" rowHeight="247650"/>
  <slicer name="Manufacturer Of Cereal 29" xr10:uid="{50CE8491-CC7A-41F3-92A1-3A6E475793E2}" cache="Slicer_Manufacturer_Of_Cereal1" caption="Manufacturer" level="1" style="SlicerStyleLight4 2" rowHeight="247650"/>
  <slicer name="Manufacturer Of Cereal 30" xr10:uid="{22427A4D-D01C-4EA2-B525-64F30BAAB5AC}" cache="Slicer_Manufacturer_Of_Cereal1" caption="Manufacturer" level="1" style="SlicerStyleLight4 2" rowHeight="247650"/>
  <slicer name="Manufacturer Of Cereal 31" xr10:uid="{14B039EB-E881-4FE0-82C3-C795B91C5BBF}" cache="Slicer_Manufacturer_Of_Cereal1" caption="Manufacturer" level="1" style="SlicerStyleLight4 2" rowHeight="247650"/>
  <slicer name="Manufacturer Of Cereal 32" xr10:uid="{5D6DD73C-BD1E-4D90-8334-13ADCF6B4E8C}" cache="Slicer_Manufacturer_Of_Cereal1" caption="Manufacturer" level="1" style="SlicerStyleLight4 2" rowHeight="247650"/>
  <slicer name="Manufacturer Of Cereal 33" xr10:uid="{790F79F3-D806-4686-907B-FE55C858F0FC}" cache="Slicer_Manufacturer_Of_Cereal1" caption="Manufacturer" level="1" style="SlicerStyleLight4 2" rowHeight="247650"/>
  <slicer name="Manufacturer Of Cereal 34" xr10:uid="{D7F938CA-0558-465C-B2EF-6336232AB6C6}" cache="Slicer_Manufacturer_Of_Cereal1" caption="Manufacturer" level="1" style="SlicerStyleLight4 2" rowHeight="247650"/>
  <slicer name="Manufacturer Of Cereal 35" xr10:uid="{FD1F1AD8-D1D1-4683-A527-57676B794759}" cache="Slicer_Manufacturer_Of_Cereal1" caption="Manufacturer" level="1" style="SlicerStyleLight4 2" rowHeight="247650"/>
  <slicer name="Manufacturer Of Cereal 36" xr10:uid="{CBE0D029-5058-4FF9-BA5E-A6D22A59D364}" cache="Slicer_Manufacturer_Of_Cereal1" caption="Manufacturer" level="1" style="SlicerStyleLight4 2" rowHeight="247650"/>
  <slicer name="Manufacturer Of Cereal 37" xr10:uid="{066BA177-09A6-41F0-A261-11CDA48EF012}" cache="Slicer_Manufacturer_Of_Cereal1" caption="Manufacturer" level="1" style="SlicerStyleLight4 2" rowHeight="247650"/>
  <slicer name="Manufacturer Of Cereal 38" xr10:uid="{4532E43D-DC8F-4B1D-B862-A0D792046340}" cache="Slicer_Manufacturer_Of_Cereal1" caption="Manufacturer" level="1" style="SlicerStyleLight4 2" rowHeight="247650"/>
  <slicer name="Manufacturer Of Cereal 39" xr10:uid="{B3C070EF-69B1-42C5-9F8E-31F6F41AE4CD}" cache="Slicer_Manufacturer_Of_Cereal1" caption="Manufacturer" level="1" style="SlicerStyleLight4 2" rowHeight="247650"/>
  <slicer name="Manufacturer Of Cereal 40" xr10:uid="{FD7311DD-23AC-4554-82B3-78F612153A43}" cache="Slicer_Manufacturer_Of_Cereal1" caption="Manufacturer" level="1" style="SlicerStyleLight4 2" rowHeight="247650"/>
  <slicer name="Manufacturer Of Cereal 41" xr10:uid="{F3DF1E07-C996-4EDE-B48B-7D39931086AF}" cache="Slicer_Manufacturer_Of_Cereal1" caption="Manufacturer" level="1" style="SlicerStyleLight4 2" rowHeight="247650"/>
  <slicer name="Nutrient Density Category 3" xr10:uid="{96DB5CA8-4509-4D3A-9ED5-35DAB7AA1EEF}" cache="Slicer_Nutrient_Density_Category1" caption="Nutrient Category" level="1" style="SlicerStyleLight4 2" rowHeight="247650"/>
  <slicer name="Nutrient Density Category 11" xr10:uid="{AAD4FB0E-72A5-4BD3-A760-5D9A2447F588}" cache="Slicer_Nutrient_Density_Category1" caption="Nutrient Category" level="1" style="SlicerStyleLight4 2" rowHeight="247650"/>
  <slicer name="Nutrient Density Category 12" xr10:uid="{7CD1BD64-BC9B-4A2B-A3E0-3AA57AE98816}" cache="Slicer_Nutrient_Density_Category1" caption="Nutrient Category" level="1" style="SlicerStyleLight4 2" rowHeight="247650"/>
  <slicer name="Nutrient Density Category 13" xr10:uid="{733865CF-0AAC-40BC-AF6C-73DD65BCA806}" cache="Slicer_Nutrient_Density_Category1" caption="Nutrient Category" level="1" style="SlicerStyleLight4 2" rowHeight="247650"/>
  <slicer name="Nutrient Density Category 14" xr10:uid="{4983C9BE-6A42-4F3A-8A1F-593212B21E88}" cache="Slicer_Nutrient_Density_Category1" caption="Nutrient Category" level="1" style="SlicerStyleLight4 2" rowHeight="247650"/>
  <slicer name="Nutrient Density Category 15" xr10:uid="{ACA0672D-D3E3-4DB0-82A2-D9679F5E87E4}" cache="Slicer_Nutrient_Density_Category1" caption="Nutrient Category" level="1" style="SlicerStyleLight4 2" rowHeight="247650"/>
  <slicer name="Nutrient Density Category 16" xr10:uid="{67D58127-C5B5-49BA-85D6-00A06DE5941D}" cache="Slicer_Nutrient_Density_Category1" caption="Nutrient Category" level="1" style="SlicerStyleLight4 2" rowHeight="247650"/>
  <slicer name="Nutrient Density Category 17" xr10:uid="{6F1DCFB2-BC33-43BE-9168-9566998B11BF}" cache="Slicer_Nutrient_Density_Category1" caption="Nutrient Category" level="1" style="SlicerStyleLight4 2" rowHeight="247650"/>
  <slicer name="Nutrient Density Category 18" xr10:uid="{A578E582-0D8F-464B-AB70-70214463B6F1}" cache="Slicer_Nutrient_Density_Category1" caption="Nutrient Category" level="1" style="SlicerStyleLight4 2" rowHeight="247650"/>
  <slicer name="Nutrient Density Category 19" xr10:uid="{7D136E84-8459-44E9-9084-7D33B2173BDA}" cache="Slicer_Nutrient_Density_Category1" caption="Nutrient Category" level="1" style="SlicerStyleLight4 2" rowHeight="247650"/>
  <slicer name="Nutrient Density Category 20" xr10:uid="{1B7D1CA0-7911-47AE-A8F0-C22BAF7B5FC4}" cache="Slicer_Nutrient_Density_Category1" caption="Nutrient Category" level="1" style="SlicerStyleLight4 2" rowHeight="247650"/>
  <slicer name="Nutrient Density Category 21" xr10:uid="{9215D37E-DAE4-4DEF-844F-498E08AD3D16}" cache="Slicer_Nutrient_Density_Category1" caption="Nutrient Category" level="1" style="SlicerStyleLight4 2" rowHeight="247650"/>
  <slicer name="Nutrient Density Category 22" xr10:uid="{FD3B5318-40AC-47DD-B473-ACF656909D48}" cache="Slicer_Nutrient_Density_Category1" caption="Nutrient Category" level="1" style="SlicerStyleLight4 2" rowHeight="247650"/>
  <slicer name="Nutrient Density Category 23" xr10:uid="{1A0E7D13-F88B-4261-A054-447654920673}" cache="Slicer_Nutrient_Density_Category1" caption="Nutrient Category" level="1" style="SlicerStyleLight4 2" rowHeight="247650"/>
  <slicer name="Nutrient Density Category 24" xr10:uid="{5645A96C-8DB4-4F94-BEC5-4BE240D1D69E}" cache="Slicer_Nutrient_Density_Category1" caption="Nutrient Category" level="1" style="SlicerStyleLight4 2" rowHeight="247650"/>
  <slicer name="Nutrient Density Category 25" xr10:uid="{4F2A54D4-BDF7-4C80-812D-4B764C74410D}" cache="Slicer_Nutrient_Density_Category1" caption="Nutrient Category" level="1" style="SlicerStyleLight4 2" rowHeight="247650"/>
  <slicer name="Nutrient Density Category 26" xr10:uid="{EB9F1AB7-866B-43FA-A47A-1D28ABB37916}" cache="Slicer_Nutrient_Density_Category1" caption="Nutrient Category" level="1" style="SlicerStyleLight4 2" rowHeight="247650"/>
  <slicer name="Nutrient Density Category 27" xr10:uid="{9FE9E360-4783-459E-B503-F0CC3135C8FE}" cache="Slicer_Nutrient_Density_Category1" caption="Nutrient Category" level="1" style="SlicerStyleLight4 2" rowHeight="247650"/>
  <slicer name="Nutrient Density Category 28" xr10:uid="{E0EDDF1F-211C-4331-9706-ECDB7DD23D82}" cache="Slicer_Nutrient_Density_Category1" caption="Nutrient Category" level="1" style="SlicerStyleLight4 2" rowHeight="247650"/>
  <slicer name="Nutrient Density Category 29" xr10:uid="{C9BA73C6-DB1C-42D2-A93B-C0FDEFAF7923}" cache="Slicer_Nutrient_Density_Category1" caption="Nutrient Category" level="1" style="SlicerStyleLight4 2" rowHeight="247650"/>
  <slicer name="Nutrient Density Category 30" xr10:uid="{4D60E1C2-335B-48E5-9546-5051412950F2}" cache="Slicer_Nutrient_Density_Category1" caption="Nutrient Category" level="1" style="SlicerStyleLight4 2" rowHeight="247650"/>
  <slicer name="Nutrient Density Category 31" xr10:uid="{39E5C89C-26C1-4B12-A0DC-F2B7D8961E39}" cache="Slicer_Nutrient_Density_Category1" caption="Nutrient Category" level="1" style="SlicerStyleLight4 2" rowHeight="247650"/>
  <slicer name="Nutrient Density Category 32" xr10:uid="{A60352FA-F44F-4F45-BB70-5231EE024AB1}" cache="Slicer_Nutrient_Density_Category1" caption="Nutrient Category" level="1" style="SlicerStyleLight4 2" rowHeight="247650"/>
  <slicer name="Nutrient Density Category 33" xr10:uid="{7926E8B1-B080-46D7-AF3A-A21C7D04192D}" cache="Slicer_Nutrient_Density_Category1" caption="Nutrient Category" level="1" style="SlicerStyleLight4 2" rowHeight="247650"/>
  <slicer name="Nutrient Density Category 34" xr10:uid="{7DA4AB9A-9C9B-4FC0-8801-00AAE56013E4}" cache="Slicer_Nutrient_Density_Category1" caption="Nutrient Category" level="1" style="SlicerStyleLight4 2" rowHeight="247650"/>
  <slicer name="Nutrient Density Category 35" xr10:uid="{121C6620-753C-456F-8D93-4B5A669ED5F1}" cache="Slicer_Nutrient_Density_Category1" caption="Nutrient Category" level="1" style="SlicerStyleLight4 2" rowHeight="247650"/>
  <slicer name="Nutrient Density Category 36" xr10:uid="{BF306DE0-96AF-49A1-BBD1-1365C55F200C}" cache="Slicer_Nutrient_Density_Category1" caption="Nutrient Category" level="1" style="SlicerStyleLight4 2" rowHeight="247650"/>
  <slicer name="Nutrient Density Category 37" xr10:uid="{7A758062-7CD9-4BA1-A336-A77A4F393882}" cache="Slicer_Nutrient_Density_Category1" caption="Nutrient Category" level="1" style="SlicerStyleLight4 2" rowHeight="247650"/>
  <slicer name="Nutrient Density Category 38" xr10:uid="{2BB42B83-BC18-44C3-9675-522FA6194C59}" cache="Slicer_Nutrient_Density_Category1" caption="Nutrient Category" level="1" style="SlicerStyleLight4 2" rowHeight="247650"/>
  <slicer name="Nutrient Density Category 39" xr10:uid="{1CFEFEC3-D685-4212-BBBD-FB8D6634F7F6}" cache="Slicer_Nutrient_Density_Category1" caption="Nutrient Category" level="1" style="SlicerStyleLight4 2" rowHeight="247650"/>
  <slicer name="Nutrient Density Category 40" xr10:uid="{7505CC19-8D13-415B-9130-2CB8EBE9F2E5}" cache="Slicer_Nutrient_Density_Category1" caption="Nutrient Category" level="1" style="SlicerStyleLight4 2" rowHeight="247650"/>
  <slicer name="Nutrient Density Category 41" xr10:uid="{28B35B5B-5615-49D3-BB99-E4707D52E2C8}" cache="Slicer_Nutrient_Density_Category1" caption="Nutrient Category" level="1" style="SlicerStyleLight4 2" rowHeight="247650"/>
  <slicer name="Nutrient Density Category 42" xr10:uid="{CA7BEEB0-983E-478B-84C5-BA66EADB898C}" cache="Slicer_Nutrient_Density_Category1" caption="Nutrient Category" level="1" style="SlicerStyleLight4 2"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6E6D690-D510-4A14-929C-23BFBD3345D2}" name="_80_CEREALS" displayName="_80_CEREALS" ref="A1:O78" tableType="queryTable" totalsRowShown="0">
  <autoFilter ref="A1:O78" xr:uid="{76E6D690-D510-4A14-929C-23BFBD3345D2}"/>
  <tableColumns count="15">
    <tableColumn id="1" xr3:uid="{DB1AFA90-A319-4BF2-B8CB-29B3EE147BEC}" uniqueName="1" name="Manufacturer Of Cereal" queryTableFieldId="1" dataDxfId="12"/>
    <tableColumn id="2" xr3:uid="{B73F84F7-3B11-4B53-B5E9-75B7F661C92C}" uniqueName="2" name="Cereal Name" queryTableFieldId="2" dataDxfId="11"/>
    <tableColumn id="3" xr3:uid="{56383EBD-E10C-4726-9A33-0F4E9AC707C8}" uniqueName="3" name="Type" queryTableFieldId="3" dataDxfId="10"/>
    <tableColumn id="4" xr3:uid="{0494409F-3BE0-4A36-9415-2BB6AB13341E}" uniqueName="4" name="Rating" queryTableFieldId="4"/>
    <tableColumn id="5" xr3:uid="{EACF823C-6F7A-40E9-8AEF-BA813B913CCC}" uniqueName="5" name="Shelf" queryTableFieldId="5"/>
    <tableColumn id="6" xr3:uid="{CC0D2B07-52AF-4E19-A46E-8F5375E95474}" uniqueName="6" name="Weight Of One Serving" queryTableFieldId="6"/>
    <tableColumn id="7" xr3:uid="{EA2AF60C-A6B9-45BD-9ED1-0A47B3B3CD59}" uniqueName="7" name="Calories" queryTableFieldId="7"/>
    <tableColumn id="8" xr3:uid="{20558DAF-B379-4EB9-ADDE-1C8516911AB4}" uniqueName="8" name="Protein" queryTableFieldId="8"/>
    <tableColumn id="9" xr3:uid="{81CC6E01-133B-4C01-9F7E-2F752F526E47}" uniqueName="9" name="Fibers" queryTableFieldId="16"/>
    <tableColumn id="10" xr3:uid="{A437FE67-2CE9-493D-AECD-3627F6766C21}" uniqueName="10" name="Vitamins" queryTableFieldId="10"/>
    <tableColumn id="11" xr3:uid="{E2D507FC-1DCC-4BE0-9A07-F35ECEFE324B}" uniqueName="11" name="Potassium" queryTableFieldId="11"/>
    <tableColumn id="12" xr3:uid="{78B663C2-A86B-4C7D-BF4C-3284081315DB}" uniqueName="12" name="Complex Carbohydrate" queryTableFieldId="17"/>
    <tableColumn id="13" xr3:uid="{EAE3E6A1-FC55-4618-9592-ABF3FD73550B}" uniqueName="13" name="Fats" queryTableFieldId="18"/>
    <tableColumn id="14" xr3:uid="{10E9E7C5-1D2C-4267-9B59-2C29951BD590}" uniqueName="14" name="Sugars" queryTableFieldId="14"/>
    <tableColumn id="15" xr3:uid="{89DD897C-9454-4B2B-AEAC-6ABEB8838D0D}" uniqueName="15" name="Sodium" queryTableField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4C6FF1-AC9B-4F0F-A826-ADF20B7BECC6}" name="Nutrient_Density" displayName="Nutrient_Density" ref="A1:N78" tableType="queryTable" totalsRowShown="0">
  <autoFilter ref="A1:N78" xr:uid="{5A4C6FF1-AC9B-4F0F-A826-ADF20B7BECC6}"/>
  <tableColumns count="14">
    <tableColumn id="1" xr3:uid="{79B865AB-3553-46A2-BAF7-56808428044B}" uniqueName="1" name="Cereal Name" queryTableFieldId="1" dataDxfId="9"/>
    <tableColumn id="2" xr3:uid="{2348C356-4ABA-4D87-8667-3E682928A8A8}" uniqueName="2" name="Weight Of One Serving" queryTableFieldId="2"/>
    <tableColumn id="3" xr3:uid="{9D49A021-B88B-4411-96F9-77C451507071}" uniqueName="3" name="Calories" queryTableFieldId="3"/>
    <tableColumn id="4" xr3:uid="{BC00987A-FAF3-4615-9E87-5B26ACB8D6B1}" uniqueName="4" name="Vitamins" queryTableFieldId="4"/>
    <tableColumn id="5" xr3:uid="{C394A024-8472-4AAB-8938-241ED73ECC18}" uniqueName="5" name="Protein Density" queryTableFieldId="5" dataDxfId="8" dataCellStyle="Percent"/>
    <tableColumn id="6" xr3:uid="{9D526702-C6E4-4B31-A4C6-F89C7C2BC52F}" uniqueName="6" name="Fiber Density" queryTableFieldId="6" dataDxfId="7" dataCellStyle="Percent"/>
    <tableColumn id="7" xr3:uid="{A6D3B78F-42E3-46C9-B8FF-493F01B455F5}" uniqueName="7" name="Sugar Density" queryTableFieldId="7" dataDxfId="6" dataCellStyle="Percent"/>
    <tableColumn id="8" xr3:uid="{B1410290-42BD-4C38-AE00-A4E78E34ECFA}" uniqueName="8" name="Potassium Density" queryTableFieldId="8" dataDxfId="5" dataCellStyle="Percent"/>
    <tableColumn id="9" xr3:uid="{8FE4878B-8611-4C9B-9F95-87EA958C31EA}" uniqueName="9" name="Complex Carbohydrate Density" queryTableFieldId="9" dataDxfId="4" dataCellStyle="Percent"/>
    <tableColumn id="10" xr3:uid="{EC6B9F5B-5FC4-409C-9859-F63977C6E2B5}" uniqueName="10" name="Fat Density" queryTableFieldId="10" dataDxfId="3" dataCellStyle="Percent"/>
    <tableColumn id="11" xr3:uid="{11FE2802-F0A6-4519-BF45-0F34836D6046}" uniqueName="11" name="Sodium Density" queryTableFieldId="11" dataDxfId="2" dataCellStyle="Percent"/>
    <tableColumn id="12" xr3:uid="{EBA0956A-9DF9-4E69-AC37-6293B18EC4F4}" uniqueName="12" name="Nutrient Density Score" queryTableFieldId="12" dataDxfId="1" dataCellStyle="Comma"/>
    <tableColumn id="13" xr3:uid="{E29BEAE0-7204-44D2-86BE-E7ECC6029506}" uniqueName="13" name="Nutrient Density Category" queryTableFieldId="13" dataDxfId="0"/>
    <tableColumn id="14" xr3:uid="{F6253A79-AFFA-426D-AAAD-DEC61A868ECA}" uniqueName="14" name="score" queryTableFieldId="1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CB261-991E-42CF-9795-010DDC9BB6FC}">
  <sheetPr codeName="Sheet1"/>
  <dimension ref="A1:O78"/>
  <sheetViews>
    <sheetView workbookViewId="0"/>
  </sheetViews>
  <sheetFormatPr defaultRowHeight="14.4" x14ac:dyDescent="0.3"/>
  <cols>
    <col min="1" max="1" width="26.33203125" bestFit="1" customWidth="1"/>
    <col min="2" max="2" width="31.6640625" bestFit="1" customWidth="1"/>
    <col min="3" max="3" width="7.109375" bestFit="1" customWidth="1"/>
    <col min="4" max="4" width="8.44140625" bestFit="1" customWidth="1"/>
    <col min="5" max="5" width="7.44140625" bestFit="1" customWidth="1"/>
    <col min="6" max="6" width="21.5546875" bestFit="1" customWidth="1"/>
    <col min="7" max="7" width="10.109375" bestFit="1" customWidth="1"/>
    <col min="8" max="8" width="9.21875" bestFit="1" customWidth="1"/>
    <col min="9" max="9" width="8.44140625" bestFit="1" customWidth="1"/>
    <col min="10" max="10" width="10.6640625" bestFit="1" customWidth="1"/>
    <col min="11" max="11" width="12" bestFit="1" customWidth="1"/>
    <col min="12" max="12" width="22.5546875" bestFit="1" customWidth="1"/>
    <col min="13" max="13" width="6.77734375" bestFit="1" customWidth="1"/>
    <col min="14" max="14" width="8.77734375" bestFit="1" customWidth="1"/>
    <col min="15" max="15" width="9.6640625" bestFit="1" customWidth="1"/>
    <col min="16" max="16" width="5.88671875" bestFit="1" customWidth="1"/>
    <col min="17" max="17" width="8.77734375" bestFit="1" customWidth="1"/>
    <col min="18" max="18" width="9.6640625" bestFit="1" customWidth="1"/>
  </cols>
  <sheetData>
    <row r="1" spans="1:15" x14ac:dyDescent="0.3">
      <c r="A1" t="s">
        <v>1</v>
      </c>
      <c r="B1" t="s">
        <v>0</v>
      </c>
      <c r="C1" t="s">
        <v>2</v>
      </c>
      <c r="D1" t="s">
        <v>8</v>
      </c>
      <c r="E1" t="s">
        <v>7</v>
      </c>
      <c r="F1" t="s">
        <v>94</v>
      </c>
      <c r="G1" t="s">
        <v>3</v>
      </c>
      <c r="H1" t="s">
        <v>4</v>
      </c>
      <c r="I1" t="s">
        <v>116</v>
      </c>
      <c r="J1" t="s">
        <v>6</v>
      </c>
      <c r="K1" t="s">
        <v>93</v>
      </c>
      <c r="L1" t="s">
        <v>117</v>
      </c>
      <c r="M1" t="s">
        <v>118</v>
      </c>
      <c r="N1" t="s">
        <v>5</v>
      </c>
      <c r="O1" t="s">
        <v>97</v>
      </c>
    </row>
    <row r="2" spans="1:15" x14ac:dyDescent="0.3">
      <c r="A2" t="s">
        <v>86</v>
      </c>
      <c r="B2" t="s">
        <v>9</v>
      </c>
      <c r="C2" t="s">
        <v>95</v>
      </c>
      <c r="D2">
        <v>68</v>
      </c>
      <c r="E2">
        <v>3</v>
      </c>
      <c r="F2">
        <v>28</v>
      </c>
      <c r="G2">
        <v>70</v>
      </c>
      <c r="H2">
        <v>4</v>
      </c>
      <c r="I2">
        <v>10</v>
      </c>
      <c r="J2">
        <v>25</v>
      </c>
      <c r="K2">
        <v>0.28000000000000003</v>
      </c>
      <c r="L2">
        <v>5</v>
      </c>
      <c r="M2">
        <v>1</v>
      </c>
      <c r="N2">
        <v>6</v>
      </c>
      <c r="O2">
        <v>0.13</v>
      </c>
    </row>
    <row r="3" spans="1:15" x14ac:dyDescent="0.3">
      <c r="A3" t="s">
        <v>87</v>
      </c>
      <c r="B3" t="s">
        <v>10</v>
      </c>
      <c r="C3" t="s">
        <v>95</v>
      </c>
      <c r="D3">
        <v>34</v>
      </c>
      <c r="E3">
        <v>3</v>
      </c>
      <c r="F3">
        <v>28</v>
      </c>
      <c r="G3">
        <v>120</v>
      </c>
      <c r="H3">
        <v>3</v>
      </c>
      <c r="I3">
        <v>2</v>
      </c>
      <c r="J3">
        <v>0</v>
      </c>
      <c r="K3">
        <v>0.13500000000000001</v>
      </c>
      <c r="L3">
        <v>8</v>
      </c>
      <c r="M3">
        <v>5</v>
      </c>
      <c r="N3">
        <v>8</v>
      </c>
      <c r="O3">
        <v>1.4999999999999999E-2</v>
      </c>
    </row>
    <row r="4" spans="1:15" x14ac:dyDescent="0.3">
      <c r="A4" t="s">
        <v>88</v>
      </c>
      <c r="B4" t="s">
        <v>11</v>
      </c>
      <c r="C4" t="s">
        <v>95</v>
      </c>
      <c r="D4">
        <v>59</v>
      </c>
      <c r="E4">
        <v>3</v>
      </c>
      <c r="F4">
        <v>28</v>
      </c>
      <c r="G4">
        <v>70</v>
      </c>
      <c r="H4">
        <v>4</v>
      </c>
      <c r="I4">
        <v>9</v>
      </c>
      <c r="J4">
        <v>25</v>
      </c>
      <c r="K4">
        <v>0.32</v>
      </c>
      <c r="L4">
        <v>7</v>
      </c>
      <c r="M4">
        <v>1</v>
      </c>
      <c r="N4">
        <v>5</v>
      </c>
      <c r="O4">
        <v>0.26</v>
      </c>
    </row>
    <row r="5" spans="1:15" x14ac:dyDescent="0.3">
      <c r="A5" t="s">
        <v>88</v>
      </c>
      <c r="B5" t="s">
        <v>12</v>
      </c>
      <c r="C5" t="s">
        <v>95</v>
      </c>
      <c r="D5">
        <v>94</v>
      </c>
      <c r="E5">
        <v>3</v>
      </c>
      <c r="F5">
        <v>28</v>
      </c>
      <c r="G5">
        <v>50</v>
      </c>
      <c r="H5">
        <v>4</v>
      </c>
      <c r="I5">
        <v>14</v>
      </c>
      <c r="J5">
        <v>25</v>
      </c>
      <c r="K5">
        <v>0.33</v>
      </c>
      <c r="L5">
        <v>8</v>
      </c>
      <c r="M5">
        <v>0</v>
      </c>
      <c r="N5">
        <v>0</v>
      </c>
      <c r="O5">
        <v>0.14000000000000001</v>
      </c>
    </row>
    <row r="6" spans="1:15" x14ac:dyDescent="0.3">
      <c r="A6" t="s">
        <v>89</v>
      </c>
      <c r="B6" t="s">
        <v>13</v>
      </c>
      <c r="C6" t="s">
        <v>95</v>
      </c>
      <c r="D6">
        <v>34</v>
      </c>
      <c r="E6">
        <v>3</v>
      </c>
      <c r="F6">
        <v>28</v>
      </c>
      <c r="G6">
        <v>110</v>
      </c>
      <c r="H6">
        <v>2</v>
      </c>
      <c r="I6">
        <v>1</v>
      </c>
      <c r="J6">
        <v>25</v>
      </c>
      <c r="K6">
        <v>-1E-3</v>
      </c>
      <c r="L6">
        <v>14</v>
      </c>
      <c r="M6">
        <v>2</v>
      </c>
      <c r="N6">
        <v>8</v>
      </c>
      <c r="O6">
        <v>0.2</v>
      </c>
    </row>
    <row r="7" spans="1:15" x14ac:dyDescent="0.3">
      <c r="A7" t="s">
        <v>90</v>
      </c>
      <c r="B7" t="s">
        <v>14</v>
      </c>
      <c r="C7" t="s">
        <v>95</v>
      </c>
      <c r="D7">
        <v>30</v>
      </c>
      <c r="E7">
        <v>1</v>
      </c>
      <c r="F7">
        <v>28</v>
      </c>
      <c r="G7">
        <v>110</v>
      </c>
      <c r="H7">
        <v>2</v>
      </c>
      <c r="I7">
        <v>1.5</v>
      </c>
      <c r="J7">
        <v>25</v>
      </c>
      <c r="K7">
        <v>7.0000000000000007E-2</v>
      </c>
      <c r="L7">
        <v>10.5</v>
      </c>
      <c r="M7">
        <v>2</v>
      </c>
      <c r="N7">
        <v>10</v>
      </c>
      <c r="O7">
        <v>0.18</v>
      </c>
    </row>
    <row r="8" spans="1:15" x14ac:dyDescent="0.3">
      <c r="A8" t="s">
        <v>88</v>
      </c>
      <c r="B8" t="s">
        <v>15</v>
      </c>
      <c r="C8" t="s">
        <v>95</v>
      </c>
      <c r="D8">
        <v>33</v>
      </c>
      <c r="E8">
        <v>2</v>
      </c>
      <c r="F8">
        <v>28</v>
      </c>
      <c r="G8">
        <v>110</v>
      </c>
      <c r="H8">
        <v>2</v>
      </c>
      <c r="I8">
        <v>1</v>
      </c>
      <c r="J8">
        <v>25</v>
      </c>
      <c r="K8">
        <v>0.03</v>
      </c>
      <c r="L8">
        <v>11</v>
      </c>
      <c r="M8">
        <v>0</v>
      </c>
      <c r="N8">
        <v>14</v>
      </c>
      <c r="O8">
        <v>0.125</v>
      </c>
    </row>
    <row r="9" spans="1:15" x14ac:dyDescent="0.3">
      <c r="A9" t="s">
        <v>89</v>
      </c>
      <c r="B9" t="s">
        <v>17</v>
      </c>
      <c r="C9" t="s">
        <v>95</v>
      </c>
      <c r="D9">
        <v>49</v>
      </c>
      <c r="E9">
        <v>1</v>
      </c>
      <c r="F9">
        <v>28</v>
      </c>
      <c r="G9">
        <v>90</v>
      </c>
      <c r="H9">
        <v>2</v>
      </c>
      <c r="I9">
        <v>4</v>
      </c>
      <c r="J9">
        <v>25</v>
      </c>
      <c r="K9">
        <v>0.125</v>
      </c>
      <c r="L9">
        <v>15</v>
      </c>
      <c r="M9">
        <v>1</v>
      </c>
      <c r="N9">
        <v>6</v>
      </c>
      <c r="O9">
        <v>0.2</v>
      </c>
    </row>
    <row r="10" spans="1:15" x14ac:dyDescent="0.3">
      <c r="A10" t="s">
        <v>91</v>
      </c>
      <c r="B10" t="s">
        <v>18</v>
      </c>
      <c r="C10" t="s">
        <v>95</v>
      </c>
      <c r="D10">
        <v>53</v>
      </c>
      <c r="E10">
        <v>3</v>
      </c>
      <c r="F10">
        <v>28</v>
      </c>
      <c r="G10">
        <v>90</v>
      </c>
      <c r="H10">
        <v>3</v>
      </c>
      <c r="I10">
        <v>5</v>
      </c>
      <c r="J10">
        <v>25</v>
      </c>
      <c r="K10">
        <v>0.19</v>
      </c>
      <c r="L10">
        <v>13</v>
      </c>
      <c r="M10">
        <v>0</v>
      </c>
      <c r="N10">
        <v>5</v>
      </c>
      <c r="O10">
        <v>0.21</v>
      </c>
    </row>
    <row r="11" spans="1:15" x14ac:dyDescent="0.3">
      <c r="A11" t="s">
        <v>87</v>
      </c>
      <c r="B11" t="s">
        <v>19</v>
      </c>
      <c r="C11" t="s">
        <v>95</v>
      </c>
      <c r="D11">
        <v>18</v>
      </c>
      <c r="E11">
        <v>2</v>
      </c>
      <c r="F11">
        <v>28</v>
      </c>
      <c r="G11">
        <v>120</v>
      </c>
      <c r="H11">
        <v>1</v>
      </c>
      <c r="I11">
        <v>0</v>
      </c>
      <c r="J11">
        <v>25</v>
      </c>
      <c r="K11">
        <v>3.5000000000000003E-2</v>
      </c>
      <c r="L11">
        <v>12</v>
      </c>
      <c r="M11">
        <v>2</v>
      </c>
      <c r="N11">
        <v>12</v>
      </c>
      <c r="O11">
        <v>0.22</v>
      </c>
    </row>
    <row r="12" spans="1:15" x14ac:dyDescent="0.3">
      <c r="A12" t="s">
        <v>90</v>
      </c>
      <c r="B12" t="s">
        <v>20</v>
      </c>
      <c r="C12" t="s">
        <v>95</v>
      </c>
      <c r="D12">
        <v>51</v>
      </c>
      <c r="E12">
        <v>1</v>
      </c>
      <c r="F12">
        <v>28</v>
      </c>
      <c r="G12">
        <v>110</v>
      </c>
      <c r="H12">
        <v>6</v>
      </c>
      <c r="I12">
        <v>2</v>
      </c>
      <c r="J12">
        <v>25</v>
      </c>
      <c r="K12">
        <v>0.105</v>
      </c>
      <c r="L12">
        <v>17</v>
      </c>
      <c r="M12">
        <v>2</v>
      </c>
      <c r="N12">
        <v>1</v>
      </c>
      <c r="O12">
        <v>0.28999999999999998</v>
      </c>
    </row>
    <row r="13" spans="1:15" x14ac:dyDescent="0.3">
      <c r="A13" t="s">
        <v>90</v>
      </c>
      <c r="B13" t="s">
        <v>21</v>
      </c>
      <c r="C13" t="s">
        <v>95</v>
      </c>
      <c r="D13">
        <v>20</v>
      </c>
      <c r="E13">
        <v>2</v>
      </c>
      <c r="F13">
        <v>28</v>
      </c>
      <c r="G13">
        <v>120</v>
      </c>
      <c r="H13">
        <v>1</v>
      </c>
      <c r="I13">
        <v>0</v>
      </c>
      <c r="J13">
        <v>25</v>
      </c>
      <c r="K13">
        <v>4.4999999999999998E-2</v>
      </c>
      <c r="L13">
        <v>13</v>
      </c>
      <c r="M13">
        <v>3</v>
      </c>
      <c r="N13">
        <v>9</v>
      </c>
      <c r="O13">
        <v>0.21</v>
      </c>
    </row>
    <row r="14" spans="1:15" x14ac:dyDescent="0.3">
      <c r="A14" t="s">
        <v>90</v>
      </c>
      <c r="B14" t="s">
        <v>22</v>
      </c>
      <c r="C14" t="s">
        <v>95</v>
      </c>
      <c r="D14">
        <v>40</v>
      </c>
      <c r="E14">
        <v>3</v>
      </c>
      <c r="F14">
        <v>28</v>
      </c>
      <c r="G14">
        <v>110</v>
      </c>
      <c r="H14">
        <v>3</v>
      </c>
      <c r="I14">
        <v>2</v>
      </c>
      <c r="J14">
        <v>25</v>
      </c>
      <c r="K14">
        <v>0.105</v>
      </c>
      <c r="L14">
        <v>13</v>
      </c>
      <c r="M14">
        <v>2</v>
      </c>
      <c r="N14">
        <v>7</v>
      </c>
      <c r="O14">
        <v>0.14000000000000001</v>
      </c>
    </row>
    <row r="15" spans="1:15" x14ac:dyDescent="0.3">
      <c r="A15" t="s">
        <v>90</v>
      </c>
      <c r="B15" t="s">
        <v>23</v>
      </c>
      <c r="C15" t="s">
        <v>95</v>
      </c>
      <c r="D15">
        <v>23</v>
      </c>
      <c r="E15">
        <v>2</v>
      </c>
      <c r="F15">
        <v>28</v>
      </c>
      <c r="G15">
        <v>110</v>
      </c>
      <c r="H15">
        <v>1</v>
      </c>
      <c r="I15">
        <v>0</v>
      </c>
      <c r="J15">
        <v>25</v>
      </c>
      <c r="K15">
        <v>5.5E-2</v>
      </c>
      <c r="L15">
        <v>12</v>
      </c>
      <c r="M15">
        <v>1</v>
      </c>
      <c r="N15">
        <v>13</v>
      </c>
      <c r="O15">
        <v>0.18</v>
      </c>
    </row>
    <row r="16" spans="1:15" x14ac:dyDescent="0.3">
      <c r="A16" t="s">
        <v>89</v>
      </c>
      <c r="B16" t="s">
        <v>24</v>
      </c>
      <c r="C16" t="s">
        <v>95</v>
      </c>
      <c r="D16">
        <v>41</v>
      </c>
      <c r="E16">
        <v>1</v>
      </c>
      <c r="F16">
        <v>28</v>
      </c>
      <c r="G16">
        <v>110</v>
      </c>
      <c r="H16">
        <v>2</v>
      </c>
      <c r="I16">
        <v>0</v>
      </c>
      <c r="J16">
        <v>25</v>
      </c>
      <c r="K16">
        <v>2.5000000000000001E-2</v>
      </c>
      <c r="L16">
        <v>22</v>
      </c>
      <c r="M16">
        <v>0</v>
      </c>
      <c r="N16">
        <v>3</v>
      </c>
      <c r="O16">
        <v>0.28000000000000003</v>
      </c>
    </row>
    <row r="17" spans="1:15" x14ac:dyDescent="0.3">
      <c r="A17" t="s">
        <v>88</v>
      </c>
      <c r="B17" t="s">
        <v>25</v>
      </c>
      <c r="C17" t="s">
        <v>95</v>
      </c>
      <c r="D17">
        <v>46</v>
      </c>
      <c r="E17">
        <v>1</v>
      </c>
      <c r="F17">
        <v>28</v>
      </c>
      <c r="G17">
        <v>100</v>
      </c>
      <c r="H17">
        <v>2</v>
      </c>
      <c r="I17">
        <v>1</v>
      </c>
      <c r="J17">
        <v>25</v>
      </c>
      <c r="K17">
        <v>3.5000000000000003E-2</v>
      </c>
      <c r="L17">
        <v>21</v>
      </c>
      <c r="M17">
        <v>0</v>
      </c>
      <c r="N17">
        <v>2</v>
      </c>
      <c r="O17">
        <v>0.28999999999999998</v>
      </c>
    </row>
    <row r="18" spans="1:15" x14ac:dyDescent="0.3">
      <c r="A18" t="s">
        <v>88</v>
      </c>
      <c r="B18" t="s">
        <v>26</v>
      </c>
      <c r="C18" t="s">
        <v>95</v>
      </c>
      <c r="D18">
        <v>36</v>
      </c>
      <c r="E18">
        <v>2</v>
      </c>
      <c r="F18">
        <v>28</v>
      </c>
      <c r="G18">
        <v>110</v>
      </c>
      <c r="H18">
        <v>1</v>
      </c>
      <c r="I18">
        <v>1</v>
      </c>
      <c r="J18">
        <v>25</v>
      </c>
      <c r="K18">
        <v>0.02</v>
      </c>
      <c r="L18">
        <v>13</v>
      </c>
      <c r="M18">
        <v>0</v>
      </c>
      <c r="N18">
        <v>12</v>
      </c>
      <c r="O18">
        <v>0.09</v>
      </c>
    </row>
    <row r="19" spans="1:15" x14ac:dyDescent="0.3">
      <c r="A19" t="s">
        <v>90</v>
      </c>
      <c r="B19" t="s">
        <v>27</v>
      </c>
      <c r="C19" t="s">
        <v>95</v>
      </c>
      <c r="D19">
        <v>22</v>
      </c>
      <c r="E19">
        <v>2</v>
      </c>
      <c r="F19">
        <v>28</v>
      </c>
      <c r="G19">
        <v>110</v>
      </c>
      <c r="H19">
        <v>1</v>
      </c>
      <c r="I19">
        <v>0</v>
      </c>
      <c r="J19">
        <v>25</v>
      </c>
      <c r="K19">
        <v>6.5000000000000002E-2</v>
      </c>
      <c r="L19">
        <v>12</v>
      </c>
      <c r="M19">
        <v>1</v>
      </c>
      <c r="N19">
        <v>13</v>
      </c>
      <c r="O19">
        <v>0.18</v>
      </c>
    </row>
    <row r="20" spans="1:15" x14ac:dyDescent="0.3">
      <c r="A20" t="s">
        <v>88</v>
      </c>
      <c r="B20" t="s">
        <v>28</v>
      </c>
      <c r="C20" t="s">
        <v>95</v>
      </c>
      <c r="D20">
        <v>40</v>
      </c>
      <c r="E20">
        <v>3</v>
      </c>
      <c r="F20">
        <v>28</v>
      </c>
      <c r="G20">
        <v>110</v>
      </c>
      <c r="H20">
        <v>3</v>
      </c>
      <c r="I20">
        <v>4</v>
      </c>
      <c r="J20">
        <v>25</v>
      </c>
      <c r="K20">
        <v>0.16</v>
      </c>
      <c r="L20">
        <v>10</v>
      </c>
      <c r="M20">
        <v>3</v>
      </c>
      <c r="N20">
        <v>7</v>
      </c>
      <c r="O20">
        <v>0.14000000000000001</v>
      </c>
    </row>
    <row r="21" spans="1:15" x14ac:dyDescent="0.3">
      <c r="A21" t="s">
        <v>86</v>
      </c>
      <c r="B21" t="s">
        <v>29</v>
      </c>
      <c r="C21" t="s">
        <v>96</v>
      </c>
      <c r="D21">
        <v>65</v>
      </c>
      <c r="E21">
        <v>2</v>
      </c>
      <c r="F21">
        <v>28</v>
      </c>
      <c r="G21">
        <v>100</v>
      </c>
      <c r="H21">
        <v>3</v>
      </c>
      <c r="I21">
        <v>1</v>
      </c>
      <c r="J21">
        <v>0</v>
      </c>
      <c r="K21">
        <v>-1E-3</v>
      </c>
      <c r="L21">
        <v>21</v>
      </c>
      <c r="M21">
        <v>0</v>
      </c>
      <c r="N21">
        <v>0</v>
      </c>
      <c r="O21">
        <v>0.08</v>
      </c>
    </row>
    <row r="22" spans="1:15" x14ac:dyDescent="0.3">
      <c r="A22" t="s">
        <v>88</v>
      </c>
      <c r="B22" t="s">
        <v>30</v>
      </c>
      <c r="C22" t="s">
        <v>95</v>
      </c>
      <c r="D22">
        <v>47</v>
      </c>
      <c r="E22">
        <v>3</v>
      </c>
      <c r="F22">
        <v>28</v>
      </c>
      <c r="G22">
        <v>110</v>
      </c>
      <c r="H22">
        <v>2</v>
      </c>
      <c r="I22">
        <v>1</v>
      </c>
      <c r="J22">
        <v>25</v>
      </c>
      <c r="K22">
        <v>0.03</v>
      </c>
      <c r="L22">
        <v>21</v>
      </c>
      <c r="M22">
        <v>0</v>
      </c>
      <c r="N22">
        <v>3</v>
      </c>
      <c r="O22">
        <v>0.22</v>
      </c>
    </row>
    <row r="23" spans="1:15" x14ac:dyDescent="0.3">
      <c r="A23" t="s">
        <v>90</v>
      </c>
      <c r="B23" t="s">
        <v>31</v>
      </c>
      <c r="C23" t="s">
        <v>95</v>
      </c>
      <c r="D23">
        <v>36</v>
      </c>
      <c r="E23">
        <v>3</v>
      </c>
      <c r="F23">
        <v>28</v>
      </c>
      <c r="G23">
        <v>100</v>
      </c>
      <c r="H23">
        <v>2</v>
      </c>
      <c r="I23">
        <v>2</v>
      </c>
      <c r="J23">
        <v>25</v>
      </c>
      <c r="K23">
        <v>0.12</v>
      </c>
      <c r="L23">
        <v>11</v>
      </c>
      <c r="M23">
        <v>1</v>
      </c>
      <c r="N23">
        <v>10</v>
      </c>
      <c r="O23">
        <v>0.14000000000000001</v>
      </c>
    </row>
    <row r="24" spans="1:15" x14ac:dyDescent="0.3">
      <c r="A24" t="s">
        <v>89</v>
      </c>
      <c r="B24" t="s">
        <v>32</v>
      </c>
      <c r="C24" t="s">
        <v>95</v>
      </c>
      <c r="D24">
        <v>44</v>
      </c>
      <c r="E24">
        <v>3</v>
      </c>
      <c r="F24">
        <v>28</v>
      </c>
      <c r="G24">
        <v>100</v>
      </c>
      <c r="H24">
        <v>2</v>
      </c>
      <c r="I24">
        <v>1</v>
      </c>
      <c r="J24">
        <v>25</v>
      </c>
      <c r="K24">
        <v>0.08</v>
      </c>
      <c r="L24">
        <v>18</v>
      </c>
      <c r="M24">
        <v>0</v>
      </c>
      <c r="N24">
        <v>5</v>
      </c>
      <c r="O24">
        <v>0.19</v>
      </c>
    </row>
    <row r="25" spans="1:15" x14ac:dyDescent="0.3">
      <c r="A25" t="s">
        <v>88</v>
      </c>
      <c r="B25" t="s">
        <v>33</v>
      </c>
      <c r="C25" t="s">
        <v>95</v>
      </c>
      <c r="D25">
        <v>32</v>
      </c>
      <c r="E25">
        <v>2</v>
      </c>
      <c r="F25">
        <v>28</v>
      </c>
      <c r="G25">
        <v>110</v>
      </c>
      <c r="H25">
        <v>2</v>
      </c>
      <c r="I25">
        <v>1</v>
      </c>
      <c r="J25">
        <v>25</v>
      </c>
      <c r="K25">
        <v>0.03</v>
      </c>
      <c r="L25">
        <v>11</v>
      </c>
      <c r="M25">
        <v>1</v>
      </c>
      <c r="N25">
        <v>13</v>
      </c>
      <c r="O25">
        <v>0.125</v>
      </c>
    </row>
    <row r="26" spans="1:15" x14ac:dyDescent="0.3">
      <c r="A26" t="s">
        <v>88</v>
      </c>
      <c r="B26" t="s">
        <v>34</v>
      </c>
      <c r="C26" t="s">
        <v>95</v>
      </c>
      <c r="D26">
        <v>31</v>
      </c>
      <c r="E26">
        <v>1</v>
      </c>
      <c r="F26">
        <v>28</v>
      </c>
      <c r="G26">
        <v>110</v>
      </c>
      <c r="H26">
        <v>1</v>
      </c>
      <c r="I26">
        <v>1</v>
      </c>
      <c r="J26">
        <v>25</v>
      </c>
      <c r="K26">
        <v>2.5000000000000001E-2</v>
      </c>
      <c r="L26">
        <v>14</v>
      </c>
      <c r="M26">
        <v>0</v>
      </c>
      <c r="N26">
        <v>11</v>
      </c>
      <c r="O26">
        <v>0.2</v>
      </c>
    </row>
    <row r="27" spans="1:15" x14ac:dyDescent="0.3">
      <c r="A27" t="s">
        <v>88</v>
      </c>
      <c r="B27" t="s">
        <v>35</v>
      </c>
      <c r="C27" t="s">
        <v>95</v>
      </c>
      <c r="D27">
        <v>58</v>
      </c>
      <c r="E27">
        <v>2</v>
      </c>
      <c r="F27">
        <v>28</v>
      </c>
      <c r="G27">
        <v>100</v>
      </c>
      <c r="H27">
        <v>3</v>
      </c>
      <c r="I27">
        <v>3</v>
      </c>
      <c r="J27">
        <v>25</v>
      </c>
      <c r="K27">
        <v>0.1</v>
      </c>
      <c r="L27">
        <v>14</v>
      </c>
      <c r="M27">
        <v>0</v>
      </c>
      <c r="N27">
        <v>7</v>
      </c>
      <c r="O27">
        <v>0</v>
      </c>
    </row>
    <row r="28" spans="1:15" x14ac:dyDescent="0.3">
      <c r="A28" t="s">
        <v>91</v>
      </c>
      <c r="B28" t="s">
        <v>38</v>
      </c>
      <c r="C28" t="s">
        <v>95</v>
      </c>
      <c r="D28">
        <v>28</v>
      </c>
      <c r="E28">
        <v>2</v>
      </c>
      <c r="F28">
        <v>28</v>
      </c>
      <c r="G28">
        <v>110</v>
      </c>
      <c r="H28">
        <v>1</v>
      </c>
      <c r="I28">
        <v>0</v>
      </c>
      <c r="J28">
        <v>25</v>
      </c>
      <c r="K28">
        <v>2.5000000000000001E-2</v>
      </c>
      <c r="L28">
        <v>13</v>
      </c>
      <c r="M28">
        <v>1</v>
      </c>
      <c r="N28">
        <v>12</v>
      </c>
      <c r="O28">
        <v>0.13500000000000001</v>
      </c>
    </row>
    <row r="29" spans="1:15" x14ac:dyDescent="0.3">
      <c r="A29" t="s">
        <v>91</v>
      </c>
      <c r="B29" t="s">
        <v>39</v>
      </c>
      <c r="C29" t="s">
        <v>95</v>
      </c>
      <c r="D29">
        <v>35</v>
      </c>
      <c r="E29">
        <v>1</v>
      </c>
      <c r="F29">
        <v>28</v>
      </c>
      <c r="G29">
        <v>100</v>
      </c>
      <c r="H29">
        <v>2</v>
      </c>
      <c r="I29">
        <v>0</v>
      </c>
      <c r="J29">
        <v>25</v>
      </c>
      <c r="K29">
        <v>0.04</v>
      </c>
      <c r="L29">
        <v>11</v>
      </c>
      <c r="M29">
        <v>0</v>
      </c>
      <c r="N29">
        <v>15</v>
      </c>
      <c r="O29">
        <v>4.4999999999999998E-2</v>
      </c>
    </row>
    <row r="30" spans="1:15" x14ac:dyDescent="0.3">
      <c r="A30" t="s">
        <v>90</v>
      </c>
      <c r="B30" t="s">
        <v>40</v>
      </c>
      <c r="C30" t="s">
        <v>95</v>
      </c>
      <c r="D30">
        <v>24</v>
      </c>
      <c r="E30">
        <v>2</v>
      </c>
      <c r="F30">
        <v>28</v>
      </c>
      <c r="G30">
        <v>110</v>
      </c>
      <c r="H30">
        <v>1</v>
      </c>
      <c r="I30">
        <v>0</v>
      </c>
      <c r="J30">
        <v>25</v>
      </c>
      <c r="K30">
        <v>4.4999999999999998E-2</v>
      </c>
      <c r="L30">
        <v>15</v>
      </c>
      <c r="M30">
        <v>1</v>
      </c>
      <c r="N30">
        <v>9</v>
      </c>
      <c r="O30">
        <v>0.28000000000000003</v>
      </c>
    </row>
    <row r="31" spans="1:15" x14ac:dyDescent="0.3">
      <c r="A31" t="s">
        <v>91</v>
      </c>
      <c r="B31" t="s">
        <v>41</v>
      </c>
      <c r="C31" t="s">
        <v>95</v>
      </c>
      <c r="D31">
        <v>52</v>
      </c>
      <c r="E31">
        <v>3</v>
      </c>
      <c r="F31">
        <v>28</v>
      </c>
      <c r="G31">
        <v>100</v>
      </c>
      <c r="H31">
        <v>3</v>
      </c>
      <c r="I31">
        <v>3</v>
      </c>
      <c r="J31">
        <v>25</v>
      </c>
      <c r="K31">
        <v>8.5000000000000006E-2</v>
      </c>
      <c r="L31">
        <v>15</v>
      </c>
      <c r="M31">
        <v>1</v>
      </c>
      <c r="N31">
        <v>5</v>
      </c>
      <c r="O31">
        <v>0.14000000000000001</v>
      </c>
    </row>
    <row r="32" spans="1:15" x14ac:dyDescent="0.3">
      <c r="A32" t="s">
        <v>91</v>
      </c>
      <c r="B32" t="s">
        <v>42</v>
      </c>
      <c r="C32" t="s">
        <v>95</v>
      </c>
      <c r="D32">
        <v>53</v>
      </c>
      <c r="E32">
        <v>3</v>
      </c>
      <c r="F32">
        <v>28</v>
      </c>
      <c r="G32">
        <v>110</v>
      </c>
      <c r="H32">
        <v>3</v>
      </c>
      <c r="I32">
        <v>3</v>
      </c>
      <c r="J32">
        <v>25</v>
      </c>
      <c r="K32">
        <v>0.09</v>
      </c>
      <c r="L32">
        <v>17</v>
      </c>
      <c r="M32">
        <v>0</v>
      </c>
      <c r="N32">
        <v>3</v>
      </c>
      <c r="O32">
        <v>0.17</v>
      </c>
    </row>
    <row r="33" spans="1:15" x14ac:dyDescent="0.3">
      <c r="A33" t="s">
        <v>91</v>
      </c>
      <c r="B33" t="s">
        <v>43</v>
      </c>
      <c r="C33" t="s">
        <v>95</v>
      </c>
      <c r="D33">
        <v>46</v>
      </c>
      <c r="E33">
        <v>3</v>
      </c>
      <c r="F33">
        <v>28</v>
      </c>
      <c r="G33">
        <v>120</v>
      </c>
      <c r="H33">
        <v>3</v>
      </c>
      <c r="I33">
        <v>3</v>
      </c>
      <c r="J33">
        <v>25</v>
      </c>
      <c r="K33">
        <v>0.1</v>
      </c>
      <c r="L33">
        <v>13</v>
      </c>
      <c r="M33">
        <v>3</v>
      </c>
      <c r="N33">
        <v>4</v>
      </c>
      <c r="O33">
        <v>7.4999999999999997E-2</v>
      </c>
    </row>
    <row r="34" spans="1:15" x14ac:dyDescent="0.3">
      <c r="A34" t="s">
        <v>87</v>
      </c>
      <c r="B34" t="s">
        <v>44</v>
      </c>
      <c r="C34" t="s">
        <v>95</v>
      </c>
      <c r="D34">
        <v>22</v>
      </c>
      <c r="E34">
        <v>2</v>
      </c>
      <c r="F34">
        <v>28</v>
      </c>
      <c r="G34">
        <v>120</v>
      </c>
      <c r="H34">
        <v>1</v>
      </c>
      <c r="I34">
        <v>1</v>
      </c>
      <c r="J34">
        <v>25</v>
      </c>
      <c r="K34">
        <v>4.4999999999999998E-2</v>
      </c>
      <c r="L34">
        <v>12</v>
      </c>
      <c r="M34">
        <v>2</v>
      </c>
      <c r="N34">
        <v>11</v>
      </c>
      <c r="O34">
        <v>0.22</v>
      </c>
    </row>
    <row r="35" spans="1:15" x14ac:dyDescent="0.3">
      <c r="A35" t="s">
        <v>90</v>
      </c>
      <c r="B35" t="s">
        <v>45</v>
      </c>
      <c r="C35" t="s">
        <v>95</v>
      </c>
      <c r="D35">
        <v>31</v>
      </c>
      <c r="E35">
        <v>1</v>
      </c>
      <c r="F35">
        <v>28</v>
      </c>
      <c r="G35">
        <v>110</v>
      </c>
      <c r="H35">
        <v>3</v>
      </c>
      <c r="I35">
        <v>1.5</v>
      </c>
      <c r="J35">
        <v>25</v>
      </c>
      <c r="K35">
        <v>0.09</v>
      </c>
      <c r="L35">
        <v>11.5</v>
      </c>
      <c r="M35">
        <v>1</v>
      </c>
      <c r="N35">
        <v>10</v>
      </c>
      <c r="O35">
        <v>0.25</v>
      </c>
    </row>
    <row r="36" spans="1:15" x14ac:dyDescent="0.3">
      <c r="A36" t="s">
        <v>91</v>
      </c>
      <c r="B36" t="s">
        <v>46</v>
      </c>
      <c r="C36" t="s">
        <v>95</v>
      </c>
      <c r="D36">
        <v>29</v>
      </c>
      <c r="E36">
        <v>1</v>
      </c>
      <c r="F36">
        <v>28</v>
      </c>
      <c r="G36">
        <v>110</v>
      </c>
      <c r="H36">
        <v>1</v>
      </c>
      <c r="I36">
        <v>0</v>
      </c>
      <c r="J36">
        <v>25</v>
      </c>
      <c r="K36">
        <v>3.5000000000000003E-2</v>
      </c>
      <c r="L36">
        <v>14</v>
      </c>
      <c r="M36">
        <v>0</v>
      </c>
      <c r="N36">
        <v>11</v>
      </c>
      <c r="O36">
        <v>0.18</v>
      </c>
    </row>
    <row r="37" spans="1:15" x14ac:dyDescent="0.3">
      <c r="A37" t="s">
        <v>88</v>
      </c>
      <c r="B37" t="s">
        <v>47</v>
      </c>
      <c r="C37" t="s">
        <v>95</v>
      </c>
      <c r="D37">
        <v>37</v>
      </c>
      <c r="E37">
        <v>3</v>
      </c>
      <c r="F37">
        <v>28</v>
      </c>
      <c r="G37">
        <v>110</v>
      </c>
      <c r="H37">
        <v>2</v>
      </c>
      <c r="I37">
        <v>1</v>
      </c>
      <c r="J37">
        <v>100</v>
      </c>
      <c r="K37">
        <v>0.06</v>
      </c>
      <c r="L37">
        <v>17</v>
      </c>
      <c r="M37">
        <v>1</v>
      </c>
      <c r="N37">
        <v>6</v>
      </c>
      <c r="O37">
        <v>0.17</v>
      </c>
    </row>
    <row r="38" spans="1:15" x14ac:dyDescent="0.3">
      <c r="A38" t="s">
        <v>90</v>
      </c>
      <c r="B38" t="s">
        <v>49</v>
      </c>
      <c r="C38" t="s">
        <v>95</v>
      </c>
      <c r="D38">
        <v>39</v>
      </c>
      <c r="E38">
        <v>2</v>
      </c>
      <c r="F38">
        <v>28</v>
      </c>
      <c r="G38">
        <v>110</v>
      </c>
      <c r="H38">
        <v>2</v>
      </c>
      <c r="I38">
        <v>0</v>
      </c>
      <c r="J38">
        <v>25</v>
      </c>
      <c r="K38">
        <v>0.04</v>
      </c>
      <c r="L38">
        <v>21</v>
      </c>
      <c r="M38">
        <v>1</v>
      </c>
      <c r="N38">
        <v>3</v>
      </c>
      <c r="O38">
        <v>0.26</v>
      </c>
    </row>
    <row r="39" spans="1:15" x14ac:dyDescent="0.3">
      <c r="A39" t="s">
        <v>87</v>
      </c>
      <c r="B39" t="s">
        <v>50</v>
      </c>
      <c r="C39" t="s">
        <v>95</v>
      </c>
      <c r="D39">
        <v>45</v>
      </c>
      <c r="E39">
        <v>2</v>
      </c>
      <c r="F39">
        <v>28</v>
      </c>
      <c r="G39">
        <v>100</v>
      </c>
      <c r="H39">
        <v>4</v>
      </c>
      <c r="I39">
        <v>2</v>
      </c>
      <c r="J39">
        <v>25</v>
      </c>
      <c r="K39">
        <v>9.5000000000000001E-2</v>
      </c>
      <c r="L39">
        <v>12</v>
      </c>
      <c r="M39">
        <v>2</v>
      </c>
      <c r="N39">
        <v>6</v>
      </c>
      <c r="O39">
        <v>0.15</v>
      </c>
    </row>
    <row r="40" spans="1:15" x14ac:dyDescent="0.3">
      <c r="A40" t="s">
        <v>90</v>
      </c>
      <c r="B40" t="s">
        <v>51</v>
      </c>
      <c r="C40" t="s">
        <v>95</v>
      </c>
      <c r="D40">
        <v>27</v>
      </c>
      <c r="E40">
        <v>2</v>
      </c>
      <c r="F40">
        <v>28</v>
      </c>
      <c r="G40">
        <v>110</v>
      </c>
      <c r="H40">
        <v>2</v>
      </c>
      <c r="I40">
        <v>0</v>
      </c>
      <c r="J40">
        <v>25</v>
      </c>
      <c r="K40">
        <v>5.5E-2</v>
      </c>
      <c r="L40">
        <v>12</v>
      </c>
      <c r="M40">
        <v>1</v>
      </c>
      <c r="N40">
        <v>12</v>
      </c>
      <c r="O40">
        <v>0.18</v>
      </c>
    </row>
    <row r="41" spans="1:15" x14ac:dyDescent="0.3">
      <c r="A41" t="s">
        <v>92</v>
      </c>
      <c r="B41" t="s">
        <v>52</v>
      </c>
      <c r="C41" t="s">
        <v>96</v>
      </c>
      <c r="D41">
        <v>55</v>
      </c>
      <c r="E41">
        <v>2</v>
      </c>
      <c r="F41">
        <v>28</v>
      </c>
      <c r="G41">
        <v>100</v>
      </c>
      <c r="H41">
        <v>4</v>
      </c>
      <c r="I41">
        <v>0</v>
      </c>
      <c r="J41">
        <v>25</v>
      </c>
      <c r="K41">
        <v>9.5000000000000001E-2</v>
      </c>
      <c r="L41">
        <v>16</v>
      </c>
      <c r="M41">
        <v>1</v>
      </c>
      <c r="N41">
        <v>3</v>
      </c>
      <c r="O41">
        <v>0</v>
      </c>
    </row>
    <row r="42" spans="1:15" x14ac:dyDescent="0.3">
      <c r="A42" t="s">
        <v>89</v>
      </c>
      <c r="B42" t="s">
        <v>53</v>
      </c>
      <c r="C42" t="s">
        <v>95</v>
      </c>
      <c r="D42">
        <v>37</v>
      </c>
      <c r="E42">
        <v>3</v>
      </c>
      <c r="F42">
        <v>28</v>
      </c>
      <c r="G42">
        <v>150</v>
      </c>
      <c r="H42">
        <v>4</v>
      </c>
      <c r="I42">
        <v>3</v>
      </c>
      <c r="J42">
        <v>25</v>
      </c>
      <c r="K42">
        <v>0.17</v>
      </c>
      <c r="L42">
        <v>16</v>
      </c>
      <c r="M42">
        <v>3</v>
      </c>
      <c r="N42">
        <v>11</v>
      </c>
      <c r="O42">
        <v>9.5000000000000001E-2</v>
      </c>
    </row>
    <row r="43" spans="1:15" x14ac:dyDescent="0.3">
      <c r="A43" t="s">
        <v>89</v>
      </c>
      <c r="B43" t="s">
        <v>54</v>
      </c>
      <c r="C43" t="s">
        <v>95</v>
      </c>
      <c r="D43">
        <v>34</v>
      </c>
      <c r="E43">
        <v>3</v>
      </c>
      <c r="F43">
        <v>28</v>
      </c>
      <c r="G43">
        <v>150</v>
      </c>
      <c r="H43">
        <v>4</v>
      </c>
      <c r="I43">
        <v>3</v>
      </c>
      <c r="J43">
        <v>25</v>
      </c>
      <c r="K43">
        <v>0.17</v>
      </c>
      <c r="L43">
        <v>16</v>
      </c>
      <c r="M43">
        <v>3</v>
      </c>
      <c r="N43">
        <v>11</v>
      </c>
      <c r="O43">
        <v>0.15</v>
      </c>
    </row>
    <row r="44" spans="1:15" x14ac:dyDescent="0.3">
      <c r="A44" t="s">
        <v>90</v>
      </c>
      <c r="B44" t="s">
        <v>56</v>
      </c>
      <c r="C44" t="s">
        <v>95</v>
      </c>
      <c r="D44">
        <v>40</v>
      </c>
      <c r="E44">
        <v>1</v>
      </c>
      <c r="F44">
        <v>28</v>
      </c>
      <c r="G44">
        <v>100</v>
      </c>
      <c r="H44">
        <v>2</v>
      </c>
      <c r="I44">
        <v>2</v>
      </c>
      <c r="J44">
        <v>25</v>
      </c>
      <c r="K44">
        <v>0.09</v>
      </c>
      <c r="L44">
        <v>15</v>
      </c>
      <c r="M44">
        <v>1</v>
      </c>
      <c r="N44">
        <v>6</v>
      </c>
      <c r="O44">
        <v>0.22</v>
      </c>
    </row>
    <row r="45" spans="1:15" x14ac:dyDescent="0.3">
      <c r="A45" t="s">
        <v>88</v>
      </c>
      <c r="B45" t="s">
        <v>57</v>
      </c>
      <c r="C45" t="s">
        <v>95</v>
      </c>
      <c r="D45">
        <v>30</v>
      </c>
      <c r="E45">
        <v>2</v>
      </c>
      <c r="F45">
        <v>28</v>
      </c>
      <c r="G45">
        <v>120</v>
      </c>
      <c r="H45">
        <v>2</v>
      </c>
      <c r="I45">
        <v>0</v>
      </c>
      <c r="J45">
        <v>25</v>
      </c>
      <c r="K45">
        <v>0.04</v>
      </c>
      <c r="L45">
        <v>15</v>
      </c>
      <c r="M45">
        <v>1</v>
      </c>
      <c r="N45">
        <v>9</v>
      </c>
      <c r="O45">
        <v>0.19</v>
      </c>
    </row>
    <row r="46" spans="1:15" x14ac:dyDescent="0.3">
      <c r="A46" t="s">
        <v>88</v>
      </c>
      <c r="B46" t="s">
        <v>59</v>
      </c>
      <c r="C46" t="s">
        <v>95</v>
      </c>
      <c r="D46">
        <v>60</v>
      </c>
      <c r="E46">
        <v>3</v>
      </c>
      <c r="F46">
        <v>28</v>
      </c>
      <c r="G46">
        <v>90</v>
      </c>
      <c r="H46">
        <v>3</v>
      </c>
      <c r="I46">
        <v>3</v>
      </c>
      <c r="J46">
        <v>25</v>
      </c>
      <c r="K46">
        <v>0.09</v>
      </c>
      <c r="L46">
        <v>18</v>
      </c>
      <c r="M46">
        <v>0</v>
      </c>
      <c r="N46">
        <v>2</v>
      </c>
      <c r="O46">
        <v>0.17</v>
      </c>
    </row>
    <row r="47" spans="1:15" x14ac:dyDescent="0.3">
      <c r="A47" t="s">
        <v>88</v>
      </c>
      <c r="B47" t="s">
        <v>62</v>
      </c>
      <c r="C47" t="s">
        <v>95</v>
      </c>
      <c r="D47">
        <v>42</v>
      </c>
      <c r="E47">
        <v>3</v>
      </c>
      <c r="F47">
        <v>28</v>
      </c>
      <c r="G47">
        <v>100</v>
      </c>
      <c r="H47">
        <v>3</v>
      </c>
      <c r="I47">
        <v>1</v>
      </c>
      <c r="J47">
        <v>100</v>
      </c>
      <c r="K47">
        <v>4.4999999999999998E-2</v>
      </c>
      <c r="L47">
        <v>20</v>
      </c>
      <c r="M47">
        <v>0</v>
      </c>
      <c r="N47">
        <v>3</v>
      </c>
      <c r="O47">
        <v>0.32</v>
      </c>
    </row>
    <row r="48" spans="1:15" x14ac:dyDescent="0.3">
      <c r="A48" t="s">
        <v>87</v>
      </c>
      <c r="B48" t="s">
        <v>65</v>
      </c>
      <c r="C48" t="s">
        <v>95</v>
      </c>
      <c r="D48">
        <v>50</v>
      </c>
      <c r="E48">
        <v>3</v>
      </c>
      <c r="F48">
        <v>28</v>
      </c>
      <c r="G48">
        <v>100</v>
      </c>
      <c r="H48">
        <v>4</v>
      </c>
      <c r="I48">
        <v>2</v>
      </c>
      <c r="J48">
        <v>25</v>
      </c>
      <c r="K48">
        <v>0.11</v>
      </c>
      <c r="L48">
        <v>14</v>
      </c>
      <c r="M48">
        <v>1</v>
      </c>
      <c r="N48">
        <v>6</v>
      </c>
      <c r="O48">
        <v>0.13500000000000001</v>
      </c>
    </row>
    <row r="49" spans="1:15" x14ac:dyDescent="0.3">
      <c r="A49" t="s">
        <v>87</v>
      </c>
      <c r="B49" t="s">
        <v>66</v>
      </c>
      <c r="C49" t="s">
        <v>96</v>
      </c>
      <c r="D49">
        <v>51</v>
      </c>
      <c r="E49">
        <v>1</v>
      </c>
      <c r="F49">
        <v>28</v>
      </c>
      <c r="G49">
        <v>100</v>
      </c>
      <c r="H49">
        <v>5</v>
      </c>
      <c r="I49">
        <v>2.7</v>
      </c>
      <c r="J49">
        <v>0</v>
      </c>
      <c r="K49">
        <v>0.11</v>
      </c>
      <c r="L49">
        <v>-1</v>
      </c>
      <c r="M49">
        <v>2</v>
      </c>
      <c r="N49">
        <v>-1</v>
      </c>
      <c r="O49">
        <v>0</v>
      </c>
    </row>
    <row r="50" spans="1:15" x14ac:dyDescent="0.3">
      <c r="A50" t="s">
        <v>90</v>
      </c>
      <c r="B50" t="s">
        <v>68</v>
      </c>
      <c r="C50" t="s">
        <v>95</v>
      </c>
      <c r="D50">
        <v>40</v>
      </c>
      <c r="E50">
        <v>3</v>
      </c>
      <c r="F50">
        <v>28</v>
      </c>
      <c r="G50">
        <v>100</v>
      </c>
      <c r="H50">
        <v>3</v>
      </c>
      <c r="I50">
        <v>2.5</v>
      </c>
      <c r="J50">
        <v>25</v>
      </c>
      <c r="K50">
        <v>0.14000000000000001</v>
      </c>
      <c r="L50">
        <v>10.5</v>
      </c>
      <c r="M50">
        <v>2</v>
      </c>
      <c r="N50">
        <v>8</v>
      </c>
      <c r="O50">
        <v>0.14000000000000001</v>
      </c>
    </row>
    <row r="51" spans="1:15" x14ac:dyDescent="0.3">
      <c r="A51" t="s">
        <v>88</v>
      </c>
      <c r="B51" t="s">
        <v>69</v>
      </c>
      <c r="C51" t="s">
        <v>95</v>
      </c>
      <c r="D51">
        <v>55</v>
      </c>
      <c r="E51">
        <v>3</v>
      </c>
      <c r="F51">
        <v>28</v>
      </c>
      <c r="G51">
        <v>90</v>
      </c>
      <c r="H51">
        <v>2</v>
      </c>
      <c r="I51">
        <v>2</v>
      </c>
      <c r="J51">
        <v>25</v>
      </c>
      <c r="K51">
        <v>0.11</v>
      </c>
      <c r="L51">
        <v>15</v>
      </c>
      <c r="M51">
        <v>0</v>
      </c>
      <c r="N51">
        <v>6</v>
      </c>
      <c r="O51">
        <v>0</v>
      </c>
    </row>
    <row r="52" spans="1:15" x14ac:dyDescent="0.3">
      <c r="A52" t="s">
        <v>89</v>
      </c>
      <c r="B52" t="s">
        <v>70</v>
      </c>
      <c r="C52" t="s">
        <v>95</v>
      </c>
      <c r="D52">
        <v>42</v>
      </c>
      <c r="E52">
        <v>1</v>
      </c>
      <c r="F52">
        <v>28</v>
      </c>
      <c r="G52">
        <v>110</v>
      </c>
      <c r="H52">
        <v>1</v>
      </c>
      <c r="I52">
        <v>0</v>
      </c>
      <c r="J52">
        <v>25</v>
      </c>
      <c r="K52">
        <v>0.03</v>
      </c>
      <c r="L52">
        <v>23</v>
      </c>
      <c r="M52">
        <v>0</v>
      </c>
      <c r="N52">
        <v>2</v>
      </c>
      <c r="O52">
        <v>0.24</v>
      </c>
    </row>
    <row r="53" spans="1:15" x14ac:dyDescent="0.3">
      <c r="A53" t="s">
        <v>88</v>
      </c>
      <c r="B53" t="s">
        <v>71</v>
      </c>
      <c r="C53" t="s">
        <v>95</v>
      </c>
      <c r="D53">
        <v>41</v>
      </c>
      <c r="E53">
        <v>1</v>
      </c>
      <c r="F53">
        <v>28</v>
      </c>
      <c r="G53">
        <v>110</v>
      </c>
      <c r="H53">
        <v>2</v>
      </c>
      <c r="I53">
        <v>0</v>
      </c>
      <c r="J53">
        <v>25</v>
      </c>
      <c r="K53">
        <v>3.5000000000000003E-2</v>
      </c>
      <c r="L53">
        <v>22</v>
      </c>
      <c r="M53">
        <v>0</v>
      </c>
      <c r="N53">
        <v>3</v>
      </c>
      <c r="O53">
        <v>0.28999999999999998</v>
      </c>
    </row>
    <row r="54" spans="1:15" x14ac:dyDescent="0.3">
      <c r="A54" t="s">
        <v>86</v>
      </c>
      <c r="B54" t="s">
        <v>73</v>
      </c>
      <c r="C54" t="s">
        <v>95</v>
      </c>
      <c r="D54">
        <v>74</v>
      </c>
      <c r="E54">
        <v>1</v>
      </c>
      <c r="F54">
        <v>28</v>
      </c>
      <c r="G54">
        <v>90</v>
      </c>
      <c r="H54">
        <v>3</v>
      </c>
      <c r="I54">
        <v>4</v>
      </c>
      <c r="J54">
        <v>0</v>
      </c>
      <c r="K54">
        <v>0.14000000000000001</v>
      </c>
      <c r="L54">
        <v>19</v>
      </c>
      <c r="M54">
        <v>0</v>
      </c>
      <c r="N54">
        <v>0</v>
      </c>
      <c r="O54">
        <v>0</v>
      </c>
    </row>
    <row r="55" spans="1:15" x14ac:dyDescent="0.3">
      <c r="A55" t="s">
        <v>86</v>
      </c>
      <c r="B55" t="s">
        <v>74</v>
      </c>
      <c r="C55" t="s">
        <v>95</v>
      </c>
      <c r="D55">
        <v>73</v>
      </c>
      <c r="E55">
        <v>1</v>
      </c>
      <c r="F55">
        <v>28</v>
      </c>
      <c r="G55">
        <v>90</v>
      </c>
      <c r="H55">
        <v>3</v>
      </c>
      <c r="I55">
        <v>3</v>
      </c>
      <c r="J55">
        <v>0</v>
      </c>
      <c r="K55">
        <v>0.12</v>
      </c>
      <c r="L55">
        <v>20</v>
      </c>
      <c r="M55">
        <v>0</v>
      </c>
      <c r="N55">
        <v>0</v>
      </c>
      <c r="O55">
        <v>0</v>
      </c>
    </row>
    <row r="56" spans="1:15" x14ac:dyDescent="0.3">
      <c r="A56" t="s">
        <v>88</v>
      </c>
      <c r="B56" t="s">
        <v>75</v>
      </c>
      <c r="C56" t="s">
        <v>95</v>
      </c>
      <c r="D56">
        <v>31</v>
      </c>
      <c r="E56">
        <v>2</v>
      </c>
      <c r="F56">
        <v>28</v>
      </c>
      <c r="G56">
        <v>110</v>
      </c>
      <c r="H56">
        <v>2</v>
      </c>
      <c r="I56">
        <v>1</v>
      </c>
      <c r="J56">
        <v>25</v>
      </c>
      <c r="K56">
        <v>0.04</v>
      </c>
      <c r="L56">
        <v>9</v>
      </c>
      <c r="M56">
        <v>1</v>
      </c>
      <c r="N56">
        <v>15</v>
      </c>
      <c r="O56">
        <v>7.0000000000000007E-2</v>
      </c>
    </row>
    <row r="57" spans="1:15" x14ac:dyDescent="0.3">
      <c r="A57" t="s">
        <v>88</v>
      </c>
      <c r="B57" t="s">
        <v>76</v>
      </c>
      <c r="C57" t="s">
        <v>95</v>
      </c>
      <c r="D57">
        <v>53</v>
      </c>
      <c r="E57">
        <v>1</v>
      </c>
      <c r="F57">
        <v>28</v>
      </c>
      <c r="G57">
        <v>110</v>
      </c>
      <c r="H57">
        <v>6</v>
      </c>
      <c r="I57">
        <v>1</v>
      </c>
      <c r="J57">
        <v>25</v>
      </c>
      <c r="K57">
        <v>5.5E-2</v>
      </c>
      <c r="L57">
        <v>16</v>
      </c>
      <c r="M57">
        <v>0</v>
      </c>
      <c r="N57">
        <v>3</v>
      </c>
      <c r="O57">
        <v>0.23</v>
      </c>
    </row>
    <row r="58" spans="1:15" x14ac:dyDescent="0.3">
      <c r="A58" t="s">
        <v>86</v>
      </c>
      <c r="B58" t="s">
        <v>77</v>
      </c>
      <c r="C58" t="s">
        <v>95</v>
      </c>
      <c r="D58">
        <v>59</v>
      </c>
      <c r="E58">
        <v>2</v>
      </c>
      <c r="F58">
        <v>28</v>
      </c>
      <c r="G58">
        <v>90</v>
      </c>
      <c r="H58">
        <v>2</v>
      </c>
      <c r="I58">
        <v>3</v>
      </c>
      <c r="J58">
        <v>25</v>
      </c>
      <c r="K58">
        <v>0.09</v>
      </c>
      <c r="L58">
        <v>15</v>
      </c>
      <c r="M58">
        <v>0</v>
      </c>
      <c r="N58">
        <v>5</v>
      </c>
      <c r="O58">
        <v>1.4999999999999999E-2</v>
      </c>
    </row>
    <row r="59" spans="1:15" x14ac:dyDescent="0.3">
      <c r="A59" t="s">
        <v>90</v>
      </c>
      <c r="B59" t="s">
        <v>78</v>
      </c>
      <c r="C59" t="s">
        <v>95</v>
      </c>
      <c r="D59">
        <v>39</v>
      </c>
      <c r="E59">
        <v>3</v>
      </c>
      <c r="F59">
        <v>28</v>
      </c>
      <c r="G59">
        <v>110</v>
      </c>
      <c r="H59">
        <v>2</v>
      </c>
      <c r="I59">
        <v>0</v>
      </c>
      <c r="J59">
        <v>100</v>
      </c>
      <c r="K59">
        <v>3.5000000000000003E-2</v>
      </c>
      <c r="L59">
        <v>21</v>
      </c>
      <c r="M59">
        <v>1</v>
      </c>
      <c r="N59">
        <v>3</v>
      </c>
      <c r="O59">
        <v>0.2</v>
      </c>
    </row>
    <row r="60" spans="1:15" x14ac:dyDescent="0.3">
      <c r="A60" t="s">
        <v>90</v>
      </c>
      <c r="B60" t="s">
        <v>80</v>
      </c>
      <c r="C60" t="s">
        <v>95</v>
      </c>
      <c r="D60">
        <v>47</v>
      </c>
      <c r="E60">
        <v>3</v>
      </c>
      <c r="F60">
        <v>28</v>
      </c>
      <c r="G60">
        <v>100</v>
      </c>
      <c r="H60">
        <v>3</v>
      </c>
      <c r="I60">
        <v>3</v>
      </c>
      <c r="J60">
        <v>100</v>
      </c>
      <c r="K60">
        <v>0.11</v>
      </c>
      <c r="L60">
        <v>16</v>
      </c>
      <c r="M60">
        <v>1</v>
      </c>
      <c r="N60">
        <v>3</v>
      </c>
      <c r="O60">
        <v>0.2</v>
      </c>
    </row>
    <row r="61" spans="1:15" x14ac:dyDescent="0.3">
      <c r="A61" t="s">
        <v>90</v>
      </c>
      <c r="B61" t="s">
        <v>81</v>
      </c>
      <c r="C61" t="s">
        <v>95</v>
      </c>
      <c r="D61">
        <v>39</v>
      </c>
      <c r="E61">
        <v>3</v>
      </c>
      <c r="F61">
        <v>28</v>
      </c>
      <c r="G61">
        <v>110</v>
      </c>
      <c r="H61">
        <v>2</v>
      </c>
      <c r="I61">
        <v>0</v>
      </c>
      <c r="J61">
        <v>25</v>
      </c>
      <c r="K61">
        <v>0.06</v>
      </c>
      <c r="L61">
        <v>21</v>
      </c>
      <c r="M61">
        <v>1</v>
      </c>
      <c r="N61">
        <v>3</v>
      </c>
      <c r="O61">
        <v>0.25</v>
      </c>
    </row>
    <row r="62" spans="1:15" x14ac:dyDescent="0.3">
      <c r="A62" t="s">
        <v>90</v>
      </c>
      <c r="B62" t="s">
        <v>82</v>
      </c>
      <c r="C62" t="s">
        <v>95</v>
      </c>
      <c r="D62">
        <v>28</v>
      </c>
      <c r="E62">
        <v>2</v>
      </c>
      <c r="F62">
        <v>28</v>
      </c>
      <c r="G62">
        <v>110</v>
      </c>
      <c r="H62">
        <v>1</v>
      </c>
      <c r="I62">
        <v>0</v>
      </c>
      <c r="J62">
        <v>25</v>
      </c>
      <c r="K62">
        <v>2.5000000000000001E-2</v>
      </c>
      <c r="L62">
        <v>13</v>
      </c>
      <c r="M62">
        <v>1</v>
      </c>
      <c r="N62">
        <v>12</v>
      </c>
      <c r="O62">
        <v>0.14000000000000001</v>
      </c>
    </row>
    <row r="63" spans="1:15" x14ac:dyDescent="0.3">
      <c r="A63" t="s">
        <v>89</v>
      </c>
      <c r="B63" t="s">
        <v>83</v>
      </c>
      <c r="C63" t="s">
        <v>95</v>
      </c>
      <c r="D63">
        <v>50</v>
      </c>
      <c r="E63">
        <v>1</v>
      </c>
      <c r="F63">
        <v>28</v>
      </c>
      <c r="G63">
        <v>100</v>
      </c>
      <c r="H63">
        <v>3</v>
      </c>
      <c r="I63">
        <v>3</v>
      </c>
      <c r="J63">
        <v>25</v>
      </c>
      <c r="K63">
        <v>0.115</v>
      </c>
      <c r="L63">
        <v>17</v>
      </c>
      <c r="M63">
        <v>1</v>
      </c>
      <c r="N63">
        <v>3</v>
      </c>
      <c r="O63">
        <v>0.23</v>
      </c>
    </row>
    <row r="64" spans="1:15" x14ac:dyDescent="0.3">
      <c r="A64" t="s">
        <v>90</v>
      </c>
      <c r="B64" t="s">
        <v>84</v>
      </c>
      <c r="C64" t="s">
        <v>95</v>
      </c>
      <c r="D64">
        <v>52</v>
      </c>
      <c r="E64">
        <v>1</v>
      </c>
      <c r="F64">
        <v>28</v>
      </c>
      <c r="G64">
        <v>100</v>
      </c>
      <c r="H64">
        <v>3</v>
      </c>
      <c r="I64">
        <v>3</v>
      </c>
      <c r="J64">
        <v>25</v>
      </c>
      <c r="K64">
        <v>0.11</v>
      </c>
      <c r="L64">
        <v>17</v>
      </c>
      <c r="M64">
        <v>1</v>
      </c>
      <c r="N64">
        <v>3</v>
      </c>
      <c r="O64">
        <v>0.2</v>
      </c>
    </row>
    <row r="65" spans="1:15" x14ac:dyDescent="0.3">
      <c r="A65" t="s">
        <v>90</v>
      </c>
      <c r="B65" t="s">
        <v>85</v>
      </c>
      <c r="C65" t="s">
        <v>95</v>
      </c>
      <c r="D65">
        <v>36</v>
      </c>
      <c r="E65">
        <v>1</v>
      </c>
      <c r="F65">
        <v>28</v>
      </c>
      <c r="G65">
        <v>110</v>
      </c>
      <c r="H65">
        <v>2</v>
      </c>
      <c r="I65">
        <v>1</v>
      </c>
      <c r="J65">
        <v>25</v>
      </c>
      <c r="K65">
        <v>0.06</v>
      </c>
      <c r="L65">
        <v>16</v>
      </c>
      <c r="M65">
        <v>1</v>
      </c>
      <c r="N65">
        <v>8</v>
      </c>
      <c r="O65">
        <v>0.2</v>
      </c>
    </row>
    <row r="66" spans="1:15" x14ac:dyDescent="0.3">
      <c r="A66" t="s">
        <v>90</v>
      </c>
      <c r="B66" t="s">
        <v>16</v>
      </c>
      <c r="C66" t="s">
        <v>95</v>
      </c>
      <c r="D66">
        <v>37</v>
      </c>
      <c r="E66">
        <v>3</v>
      </c>
      <c r="F66">
        <v>38</v>
      </c>
      <c r="G66">
        <v>130</v>
      </c>
      <c r="H66">
        <v>3</v>
      </c>
      <c r="I66">
        <v>2</v>
      </c>
      <c r="J66">
        <v>25</v>
      </c>
      <c r="K66">
        <v>0.1</v>
      </c>
      <c r="L66">
        <v>18</v>
      </c>
      <c r="M66">
        <v>2</v>
      </c>
      <c r="N66">
        <v>8</v>
      </c>
      <c r="O66">
        <v>0.21</v>
      </c>
    </row>
    <row r="67" spans="1:15" x14ac:dyDescent="0.3">
      <c r="A67" t="s">
        <v>91</v>
      </c>
      <c r="B67" t="s">
        <v>36</v>
      </c>
      <c r="C67" t="s">
        <v>95</v>
      </c>
      <c r="D67">
        <v>41</v>
      </c>
      <c r="E67">
        <v>3</v>
      </c>
      <c r="F67">
        <v>35</v>
      </c>
      <c r="G67">
        <v>120</v>
      </c>
      <c r="H67">
        <v>3</v>
      </c>
      <c r="I67">
        <v>5</v>
      </c>
      <c r="J67">
        <v>25</v>
      </c>
      <c r="K67">
        <v>0.2</v>
      </c>
      <c r="L67">
        <v>12</v>
      </c>
      <c r="M67">
        <v>2</v>
      </c>
      <c r="N67">
        <v>10</v>
      </c>
      <c r="O67">
        <v>0.16</v>
      </c>
    </row>
    <row r="68" spans="1:15" x14ac:dyDescent="0.3">
      <c r="A68" t="s">
        <v>88</v>
      </c>
      <c r="B68" t="s">
        <v>37</v>
      </c>
      <c r="C68" t="s">
        <v>95</v>
      </c>
      <c r="D68">
        <v>41</v>
      </c>
      <c r="E68">
        <v>3</v>
      </c>
      <c r="F68">
        <v>38</v>
      </c>
      <c r="G68">
        <v>120</v>
      </c>
      <c r="H68">
        <v>3</v>
      </c>
      <c r="I68">
        <v>5</v>
      </c>
      <c r="J68">
        <v>25</v>
      </c>
      <c r="K68">
        <v>0.19</v>
      </c>
      <c r="L68">
        <v>14</v>
      </c>
      <c r="M68">
        <v>0</v>
      </c>
      <c r="N68">
        <v>12</v>
      </c>
      <c r="O68">
        <v>0.24</v>
      </c>
    </row>
    <row r="69" spans="1:15" x14ac:dyDescent="0.3">
      <c r="A69" t="s">
        <v>88</v>
      </c>
      <c r="B69" t="s">
        <v>48</v>
      </c>
      <c r="C69" t="s">
        <v>95</v>
      </c>
      <c r="D69">
        <v>36</v>
      </c>
      <c r="E69">
        <v>3</v>
      </c>
      <c r="F69">
        <v>37</v>
      </c>
      <c r="G69">
        <v>140</v>
      </c>
      <c r="H69">
        <v>3</v>
      </c>
      <c r="I69">
        <v>2</v>
      </c>
      <c r="J69">
        <v>100</v>
      </c>
      <c r="K69">
        <v>9.5000000000000001E-2</v>
      </c>
      <c r="L69">
        <v>20</v>
      </c>
      <c r="M69">
        <v>1</v>
      </c>
      <c r="N69">
        <v>9</v>
      </c>
      <c r="O69">
        <v>0.17</v>
      </c>
    </row>
    <row r="70" spans="1:15" x14ac:dyDescent="0.3">
      <c r="A70" t="s">
        <v>88</v>
      </c>
      <c r="B70" t="s">
        <v>55</v>
      </c>
      <c r="C70" t="s">
        <v>95</v>
      </c>
      <c r="D70">
        <v>30</v>
      </c>
      <c r="E70">
        <v>3</v>
      </c>
      <c r="F70">
        <v>43</v>
      </c>
      <c r="G70">
        <v>160</v>
      </c>
      <c r="H70">
        <v>3</v>
      </c>
      <c r="I70">
        <v>3</v>
      </c>
      <c r="J70">
        <v>25</v>
      </c>
      <c r="K70">
        <v>0.16</v>
      </c>
      <c r="L70">
        <v>17</v>
      </c>
      <c r="M70">
        <v>2</v>
      </c>
      <c r="N70">
        <v>13</v>
      </c>
      <c r="O70">
        <v>0.15</v>
      </c>
    </row>
    <row r="71" spans="1:15" x14ac:dyDescent="0.3">
      <c r="A71" t="s">
        <v>88</v>
      </c>
      <c r="B71" t="s">
        <v>58</v>
      </c>
      <c r="C71" t="s">
        <v>95</v>
      </c>
      <c r="D71">
        <v>41</v>
      </c>
      <c r="E71">
        <v>3</v>
      </c>
      <c r="F71">
        <v>38</v>
      </c>
      <c r="G71">
        <v>140</v>
      </c>
      <c r="H71">
        <v>3</v>
      </c>
      <c r="I71">
        <v>3</v>
      </c>
      <c r="J71">
        <v>25</v>
      </c>
      <c r="K71">
        <v>0.13</v>
      </c>
      <c r="L71">
        <v>21</v>
      </c>
      <c r="M71">
        <v>2</v>
      </c>
      <c r="N71">
        <v>7</v>
      </c>
      <c r="O71">
        <v>0.22</v>
      </c>
    </row>
    <row r="72" spans="1:15" x14ac:dyDescent="0.3">
      <c r="A72" t="s">
        <v>90</v>
      </c>
      <c r="B72" t="s">
        <v>60</v>
      </c>
      <c r="C72" t="s">
        <v>95</v>
      </c>
      <c r="D72">
        <v>30</v>
      </c>
      <c r="E72">
        <v>3</v>
      </c>
      <c r="F72">
        <v>35</v>
      </c>
      <c r="G72">
        <v>130</v>
      </c>
      <c r="H72">
        <v>3</v>
      </c>
      <c r="I72">
        <v>1.5</v>
      </c>
      <c r="J72">
        <v>25</v>
      </c>
      <c r="K72">
        <v>0.12</v>
      </c>
      <c r="L72">
        <v>13.5</v>
      </c>
      <c r="M72">
        <v>2</v>
      </c>
      <c r="N72">
        <v>10</v>
      </c>
      <c r="O72">
        <v>0.17</v>
      </c>
    </row>
    <row r="73" spans="1:15" x14ac:dyDescent="0.3">
      <c r="A73" t="s">
        <v>91</v>
      </c>
      <c r="B73" t="s">
        <v>61</v>
      </c>
      <c r="C73" t="s">
        <v>95</v>
      </c>
      <c r="D73">
        <v>38</v>
      </c>
      <c r="E73">
        <v>3</v>
      </c>
      <c r="F73">
        <v>38</v>
      </c>
      <c r="G73">
        <v>120</v>
      </c>
      <c r="H73">
        <v>3</v>
      </c>
      <c r="I73">
        <v>6</v>
      </c>
      <c r="J73">
        <v>25</v>
      </c>
      <c r="K73">
        <v>0.26</v>
      </c>
      <c r="L73">
        <v>11</v>
      </c>
      <c r="M73">
        <v>1</v>
      </c>
      <c r="N73">
        <v>14</v>
      </c>
      <c r="O73">
        <v>0.2</v>
      </c>
    </row>
    <row r="74" spans="1:15" x14ac:dyDescent="0.3">
      <c r="A74" t="s">
        <v>87</v>
      </c>
      <c r="B74" t="s">
        <v>63</v>
      </c>
      <c r="C74" t="s">
        <v>95</v>
      </c>
      <c r="D74">
        <v>61</v>
      </c>
      <c r="E74">
        <v>3</v>
      </c>
      <c r="F74">
        <v>14</v>
      </c>
      <c r="G74">
        <v>50</v>
      </c>
      <c r="H74">
        <v>1</v>
      </c>
      <c r="I74">
        <v>0</v>
      </c>
      <c r="J74">
        <v>0</v>
      </c>
      <c r="K74">
        <v>1.4999999999999999E-2</v>
      </c>
      <c r="L74">
        <v>13</v>
      </c>
      <c r="M74">
        <v>0</v>
      </c>
      <c r="N74">
        <v>0</v>
      </c>
      <c r="O74">
        <v>0</v>
      </c>
    </row>
    <row r="75" spans="1:15" x14ac:dyDescent="0.3">
      <c r="A75" t="s">
        <v>87</v>
      </c>
      <c r="B75" t="s">
        <v>64</v>
      </c>
      <c r="C75" t="s">
        <v>95</v>
      </c>
      <c r="D75">
        <v>63</v>
      </c>
      <c r="E75">
        <v>3</v>
      </c>
      <c r="F75">
        <v>14</v>
      </c>
      <c r="G75">
        <v>50</v>
      </c>
      <c r="H75">
        <v>2</v>
      </c>
      <c r="I75">
        <v>1</v>
      </c>
      <c r="J75">
        <v>0</v>
      </c>
      <c r="K75">
        <v>0.05</v>
      </c>
      <c r="L75">
        <v>10</v>
      </c>
      <c r="M75">
        <v>0</v>
      </c>
      <c r="N75">
        <v>0</v>
      </c>
      <c r="O75">
        <v>0</v>
      </c>
    </row>
    <row r="76" spans="1:15" x14ac:dyDescent="0.3">
      <c r="A76" t="s">
        <v>88</v>
      </c>
      <c r="B76" t="s">
        <v>67</v>
      </c>
      <c r="C76" t="s">
        <v>95</v>
      </c>
      <c r="D76">
        <v>39</v>
      </c>
      <c r="E76">
        <v>2</v>
      </c>
      <c r="F76">
        <v>38</v>
      </c>
      <c r="G76">
        <v>120</v>
      </c>
      <c r="H76">
        <v>3</v>
      </c>
      <c r="I76">
        <v>5</v>
      </c>
      <c r="J76">
        <v>25</v>
      </c>
      <c r="K76">
        <v>0.24</v>
      </c>
      <c r="L76">
        <v>14</v>
      </c>
      <c r="M76">
        <v>1</v>
      </c>
      <c r="N76">
        <v>12</v>
      </c>
      <c r="O76">
        <v>0.21</v>
      </c>
    </row>
    <row r="77" spans="1:15" x14ac:dyDescent="0.3">
      <c r="A77" t="s">
        <v>86</v>
      </c>
      <c r="B77" t="s">
        <v>72</v>
      </c>
      <c r="C77" t="s">
        <v>95</v>
      </c>
      <c r="D77">
        <v>68</v>
      </c>
      <c r="E77">
        <v>1</v>
      </c>
      <c r="F77">
        <v>24</v>
      </c>
      <c r="G77">
        <v>80</v>
      </c>
      <c r="H77">
        <v>2</v>
      </c>
      <c r="I77">
        <v>3</v>
      </c>
      <c r="J77">
        <v>0</v>
      </c>
      <c r="K77">
        <v>9.5000000000000001E-2</v>
      </c>
      <c r="L77">
        <v>16</v>
      </c>
      <c r="M77">
        <v>0</v>
      </c>
      <c r="N77">
        <v>0</v>
      </c>
      <c r="O77">
        <v>0</v>
      </c>
    </row>
    <row r="78" spans="1:15" x14ac:dyDescent="0.3">
      <c r="A78" t="s">
        <v>90</v>
      </c>
      <c r="B78" t="s">
        <v>79</v>
      </c>
      <c r="C78" t="s">
        <v>95</v>
      </c>
      <c r="D78">
        <v>29</v>
      </c>
      <c r="E78">
        <v>3</v>
      </c>
      <c r="F78">
        <v>43</v>
      </c>
      <c r="G78">
        <v>140</v>
      </c>
      <c r="H78">
        <v>3</v>
      </c>
      <c r="I78">
        <v>4</v>
      </c>
      <c r="J78">
        <v>100</v>
      </c>
      <c r="K78">
        <v>0.23</v>
      </c>
      <c r="L78">
        <v>15</v>
      </c>
      <c r="M78">
        <v>1</v>
      </c>
      <c r="N78">
        <v>14</v>
      </c>
      <c r="O78">
        <v>0.19</v>
      </c>
    </row>
  </sheetData>
  <phoneticPr fontId="4"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F358D-A3F4-46D1-B345-F756E087F36B}">
  <sheetPr codeName="Sheet2"/>
  <dimension ref="A1:N78"/>
  <sheetViews>
    <sheetView workbookViewId="0"/>
  </sheetViews>
  <sheetFormatPr defaultRowHeight="14.4" x14ac:dyDescent="0.3"/>
  <cols>
    <col min="1" max="1" width="31.6640625" bestFit="1" customWidth="1"/>
    <col min="2" max="2" width="21.5546875" bestFit="1" customWidth="1"/>
    <col min="3" max="3" width="10.109375" bestFit="1" customWidth="1"/>
    <col min="4" max="4" width="10.6640625" bestFit="1" customWidth="1"/>
    <col min="5" max="5" width="15.88671875" bestFit="1" customWidth="1"/>
    <col min="6" max="6" width="14.109375" bestFit="1" customWidth="1"/>
    <col min="7" max="7" width="14.44140625" bestFit="1" customWidth="1"/>
    <col min="8" max="8" width="18.6640625" bestFit="1" customWidth="1"/>
    <col min="9" max="9" width="29.33203125" bestFit="1" customWidth="1"/>
    <col min="10" max="10" width="12.44140625" bestFit="1" customWidth="1"/>
    <col min="11" max="11" width="16.33203125" bestFit="1" customWidth="1"/>
    <col min="12" max="12" width="22" bestFit="1" customWidth="1"/>
    <col min="13" max="13" width="24.6640625" bestFit="1" customWidth="1"/>
    <col min="14" max="14" width="7.77734375" bestFit="1" customWidth="1"/>
  </cols>
  <sheetData>
    <row r="1" spans="1:14" x14ac:dyDescent="0.3">
      <c r="A1" t="s">
        <v>0</v>
      </c>
      <c r="B1" t="s">
        <v>94</v>
      </c>
      <c r="C1" t="s">
        <v>3</v>
      </c>
      <c r="D1" t="s">
        <v>6</v>
      </c>
      <c r="E1" t="s">
        <v>98</v>
      </c>
      <c r="F1" t="s">
        <v>99</v>
      </c>
      <c r="G1" t="s">
        <v>100</v>
      </c>
      <c r="H1" t="s">
        <v>101</v>
      </c>
      <c r="I1" t="s">
        <v>102</v>
      </c>
      <c r="J1" t="s">
        <v>103</v>
      </c>
      <c r="K1" t="s">
        <v>104</v>
      </c>
      <c r="L1" t="s">
        <v>105</v>
      </c>
      <c r="M1" t="s">
        <v>106</v>
      </c>
      <c r="N1" t="s">
        <v>110</v>
      </c>
    </row>
    <row r="2" spans="1:14" x14ac:dyDescent="0.3">
      <c r="A2" t="s">
        <v>9</v>
      </c>
      <c r="B2">
        <v>28</v>
      </c>
      <c r="C2">
        <v>70</v>
      </c>
      <c r="D2">
        <v>25</v>
      </c>
      <c r="E2" s="1">
        <v>5.7142857142857099E-2</v>
      </c>
      <c r="F2" s="1">
        <v>0.14285714285714299</v>
      </c>
      <c r="G2" s="1">
        <v>8.5714285714285701E-2</v>
      </c>
      <c r="H2" s="1">
        <v>4.0000000000000001E-3</v>
      </c>
      <c r="I2" s="1">
        <v>7.1428571428571397E-2</v>
      </c>
      <c r="J2" s="1">
        <v>1.4285714285714299E-2</v>
      </c>
      <c r="K2" s="1">
        <v>1.8571428571428599E-3</v>
      </c>
      <c r="L2" s="2">
        <v>0.7210714285714287</v>
      </c>
      <c r="M2" t="s">
        <v>107</v>
      </c>
      <c r="N2">
        <v>2</v>
      </c>
    </row>
    <row r="3" spans="1:14" x14ac:dyDescent="0.3">
      <c r="A3" t="s">
        <v>10</v>
      </c>
      <c r="B3">
        <v>28</v>
      </c>
      <c r="C3">
        <v>120</v>
      </c>
      <c r="D3">
        <v>0</v>
      </c>
      <c r="E3" s="1">
        <v>2.5000000000000001E-2</v>
      </c>
      <c r="F3" s="1">
        <v>1.6666666666666701E-2</v>
      </c>
      <c r="G3" s="1">
        <v>6.6666666666666693E-2</v>
      </c>
      <c r="H3" s="1">
        <v>1.1249999999999999E-3</v>
      </c>
      <c r="I3" s="1">
        <v>6.6666666666666693E-2</v>
      </c>
      <c r="J3" s="1">
        <v>4.1666666666666699E-2</v>
      </c>
      <c r="K3" s="1">
        <v>1.25E-4</v>
      </c>
      <c r="L3" s="2">
        <v>1.5000000000000293E-3</v>
      </c>
      <c r="M3" t="s">
        <v>108</v>
      </c>
      <c r="N3">
        <v>1</v>
      </c>
    </row>
    <row r="4" spans="1:14" x14ac:dyDescent="0.3">
      <c r="A4" t="s">
        <v>11</v>
      </c>
      <c r="B4">
        <v>28</v>
      </c>
      <c r="C4">
        <v>70</v>
      </c>
      <c r="D4">
        <v>25</v>
      </c>
      <c r="E4" s="1">
        <v>5.7142857142857099E-2</v>
      </c>
      <c r="F4" s="1">
        <v>0.128571428571429</v>
      </c>
      <c r="G4" s="1">
        <v>7.1428571428571397E-2</v>
      </c>
      <c r="H4" s="1">
        <v>4.57142857142857E-3</v>
      </c>
      <c r="I4" s="1">
        <v>0.1</v>
      </c>
      <c r="J4" s="1">
        <v>1.4285714285714299E-2</v>
      </c>
      <c r="K4" s="1">
        <v>3.7142857142857099E-3</v>
      </c>
      <c r="L4" s="2">
        <v>0.74771428571428644</v>
      </c>
      <c r="M4" t="s">
        <v>107</v>
      </c>
      <c r="N4">
        <v>2</v>
      </c>
    </row>
    <row r="5" spans="1:14" x14ac:dyDescent="0.3">
      <c r="A5" t="s">
        <v>12</v>
      </c>
      <c r="B5">
        <v>28</v>
      </c>
      <c r="C5">
        <v>50</v>
      </c>
      <c r="D5">
        <v>25</v>
      </c>
      <c r="E5" s="1">
        <v>0.08</v>
      </c>
      <c r="F5" s="1">
        <v>0.28000000000000003</v>
      </c>
      <c r="G5" s="1">
        <v>0</v>
      </c>
      <c r="H5" s="1">
        <v>6.6E-3</v>
      </c>
      <c r="I5" s="1">
        <v>0.16</v>
      </c>
      <c r="J5" s="1">
        <v>0</v>
      </c>
      <c r="K5" s="1">
        <v>2.8E-3</v>
      </c>
      <c r="L5" s="2">
        <v>1.3407</v>
      </c>
      <c r="M5" t="s">
        <v>109</v>
      </c>
      <c r="N5">
        <v>3</v>
      </c>
    </row>
    <row r="6" spans="1:14" x14ac:dyDescent="0.3">
      <c r="A6" t="s">
        <v>13</v>
      </c>
      <c r="B6">
        <v>28</v>
      </c>
      <c r="C6">
        <v>110</v>
      </c>
      <c r="D6">
        <v>25</v>
      </c>
      <c r="E6" s="1">
        <v>1.8181818181818198E-2</v>
      </c>
      <c r="F6" s="1">
        <v>9.0909090909090905E-3</v>
      </c>
      <c r="G6" s="1">
        <v>7.2727272727272696E-2</v>
      </c>
      <c r="H6" s="1">
        <v>-9.0909090909090893E-6</v>
      </c>
      <c r="I6" s="1">
        <v>0.12727272727272701</v>
      </c>
      <c r="J6" s="1">
        <v>1.8181818181818198E-2</v>
      </c>
      <c r="K6" s="1">
        <v>1.8181818181818199E-3</v>
      </c>
      <c r="L6" s="2">
        <v>0.40862272727272703</v>
      </c>
      <c r="M6" t="s">
        <v>108</v>
      </c>
      <c r="N6">
        <v>1</v>
      </c>
    </row>
    <row r="7" spans="1:14" x14ac:dyDescent="0.3">
      <c r="A7" t="s">
        <v>14</v>
      </c>
      <c r="B7">
        <v>28</v>
      </c>
      <c r="C7">
        <v>110</v>
      </c>
      <c r="D7">
        <v>25</v>
      </c>
      <c r="E7" s="1">
        <v>1.8181818181818198E-2</v>
      </c>
      <c r="F7" s="1">
        <v>1.3636363636363599E-2</v>
      </c>
      <c r="G7" s="1">
        <v>9.0909090909090898E-2</v>
      </c>
      <c r="H7" s="1">
        <v>6.3636363636363597E-4</v>
      </c>
      <c r="I7" s="1">
        <v>9.5454545454545403E-2</v>
      </c>
      <c r="J7" s="1">
        <v>1.8181818181818198E-2</v>
      </c>
      <c r="K7" s="1">
        <v>1.63636363636364E-3</v>
      </c>
      <c r="L7" s="2">
        <v>0.35077272727272718</v>
      </c>
      <c r="M7" t="s">
        <v>108</v>
      </c>
      <c r="N7">
        <v>1</v>
      </c>
    </row>
    <row r="8" spans="1:14" x14ac:dyDescent="0.3">
      <c r="A8" t="s">
        <v>15</v>
      </c>
      <c r="B8">
        <v>28</v>
      </c>
      <c r="C8">
        <v>110</v>
      </c>
      <c r="D8">
        <v>25</v>
      </c>
      <c r="E8" s="1">
        <v>1.8181818181818198E-2</v>
      </c>
      <c r="F8" s="1">
        <v>9.0909090909090905E-3</v>
      </c>
      <c r="G8" s="1">
        <v>0.12727272727272701</v>
      </c>
      <c r="H8" s="1">
        <v>2.7272727272727301E-4</v>
      </c>
      <c r="I8" s="1">
        <v>0.1</v>
      </c>
      <c r="J8" s="1">
        <v>0</v>
      </c>
      <c r="K8" s="1">
        <v>1.13636363636364E-3</v>
      </c>
      <c r="L8" s="2">
        <v>0.29188636363636422</v>
      </c>
      <c r="M8" t="s">
        <v>108</v>
      </c>
      <c r="N8">
        <v>1</v>
      </c>
    </row>
    <row r="9" spans="1:14" x14ac:dyDescent="0.3">
      <c r="A9" t="s">
        <v>17</v>
      </c>
      <c r="B9">
        <v>28</v>
      </c>
      <c r="C9">
        <v>90</v>
      </c>
      <c r="D9">
        <v>25</v>
      </c>
      <c r="E9" s="1">
        <v>2.2222222222222199E-2</v>
      </c>
      <c r="F9" s="1">
        <v>4.4444444444444398E-2</v>
      </c>
      <c r="G9" s="1">
        <v>6.6666666666666693E-2</v>
      </c>
      <c r="H9" s="1">
        <v>1.38888888888889E-3</v>
      </c>
      <c r="I9" s="1">
        <v>0.16666666666666699</v>
      </c>
      <c r="J9" s="1">
        <v>1.1111111111111099E-2</v>
      </c>
      <c r="K9" s="1">
        <v>2.2222222222222201E-3</v>
      </c>
      <c r="L9" s="2">
        <v>0.55152777777777795</v>
      </c>
      <c r="M9" t="s">
        <v>107</v>
      </c>
      <c r="N9">
        <v>2</v>
      </c>
    </row>
    <row r="10" spans="1:14" x14ac:dyDescent="0.3">
      <c r="A10" t="s">
        <v>18</v>
      </c>
      <c r="B10">
        <v>28</v>
      </c>
      <c r="C10">
        <v>90</v>
      </c>
      <c r="D10">
        <v>25</v>
      </c>
      <c r="E10" s="1">
        <v>3.3333333333333298E-2</v>
      </c>
      <c r="F10" s="1">
        <v>5.5555555555555601E-2</v>
      </c>
      <c r="G10" s="1">
        <v>5.5555555555555601E-2</v>
      </c>
      <c r="H10" s="1">
        <v>2.11111111111111E-3</v>
      </c>
      <c r="I10" s="1">
        <v>0.14444444444444399</v>
      </c>
      <c r="J10" s="1">
        <v>0</v>
      </c>
      <c r="K10" s="1">
        <v>2.3333333333333301E-3</v>
      </c>
      <c r="L10" s="2">
        <v>0.6191111111111105</v>
      </c>
      <c r="M10" t="s">
        <v>107</v>
      </c>
      <c r="N10">
        <v>2</v>
      </c>
    </row>
    <row r="11" spans="1:14" x14ac:dyDescent="0.3">
      <c r="A11" t="s">
        <v>19</v>
      </c>
      <c r="B11">
        <v>28</v>
      </c>
      <c r="C11">
        <v>120</v>
      </c>
      <c r="D11">
        <v>25</v>
      </c>
      <c r="E11" s="1">
        <v>8.3333333333333297E-3</v>
      </c>
      <c r="F11" s="1">
        <v>0</v>
      </c>
      <c r="G11" s="1">
        <v>0.1</v>
      </c>
      <c r="H11" s="1">
        <v>2.9166666666666702E-4</v>
      </c>
      <c r="I11" s="1">
        <v>0.1</v>
      </c>
      <c r="J11" s="1">
        <v>1.6666666666666701E-2</v>
      </c>
      <c r="K11" s="1">
        <v>1.83333333333333E-3</v>
      </c>
      <c r="L11" s="2">
        <v>0.28102083333333328</v>
      </c>
      <c r="M11" t="s">
        <v>108</v>
      </c>
      <c r="N11">
        <v>1</v>
      </c>
    </row>
    <row r="12" spans="1:14" x14ac:dyDescent="0.3">
      <c r="A12" t="s">
        <v>20</v>
      </c>
      <c r="B12">
        <v>28</v>
      </c>
      <c r="C12">
        <v>110</v>
      </c>
      <c r="D12">
        <v>25</v>
      </c>
      <c r="E12" s="1">
        <v>5.4545454545454501E-2</v>
      </c>
      <c r="F12" s="1">
        <v>1.8181818181818198E-2</v>
      </c>
      <c r="G12" s="1">
        <v>9.0909090909090905E-3</v>
      </c>
      <c r="H12" s="1">
        <v>9.5454545454545401E-4</v>
      </c>
      <c r="I12" s="1">
        <v>0.15454545454545501</v>
      </c>
      <c r="J12" s="1">
        <v>1.8181818181818198E-2</v>
      </c>
      <c r="K12" s="1">
        <v>2.6363636363636398E-3</v>
      </c>
      <c r="L12" s="2">
        <v>0.69065909090909117</v>
      </c>
      <c r="M12" t="s">
        <v>107</v>
      </c>
      <c r="N12">
        <v>2</v>
      </c>
    </row>
    <row r="13" spans="1:14" x14ac:dyDescent="0.3">
      <c r="A13" t="s">
        <v>21</v>
      </c>
      <c r="B13">
        <v>28</v>
      </c>
      <c r="C13">
        <v>120</v>
      </c>
      <c r="D13">
        <v>25</v>
      </c>
      <c r="E13" s="1">
        <v>8.3333333333333297E-3</v>
      </c>
      <c r="F13" s="1">
        <v>0</v>
      </c>
      <c r="G13" s="1">
        <v>7.4999999999999997E-2</v>
      </c>
      <c r="H13" s="1">
        <v>3.7500000000000001E-4</v>
      </c>
      <c r="I13" s="1">
        <v>0.108333333333333</v>
      </c>
      <c r="J13" s="1">
        <v>2.5000000000000001E-2</v>
      </c>
      <c r="K13" s="1">
        <v>1.75E-3</v>
      </c>
      <c r="L13" s="2">
        <v>0.33127083333333296</v>
      </c>
      <c r="M13" t="s">
        <v>108</v>
      </c>
      <c r="N13">
        <v>1</v>
      </c>
    </row>
    <row r="14" spans="1:14" x14ac:dyDescent="0.3">
      <c r="A14" t="s">
        <v>22</v>
      </c>
      <c r="B14">
        <v>28</v>
      </c>
      <c r="C14">
        <v>110</v>
      </c>
      <c r="D14">
        <v>25</v>
      </c>
      <c r="E14" s="1">
        <v>2.7272727272727299E-2</v>
      </c>
      <c r="F14" s="1">
        <v>1.8181818181818198E-2</v>
      </c>
      <c r="G14" s="1">
        <v>6.3636363636363602E-2</v>
      </c>
      <c r="H14" s="1">
        <v>9.5454545454545401E-4</v>
      </c>
      <c r="I14" s="1">
        <v>0.118181818181818</v>
      </c>
      <c r="J14" s="1">
        <v>1.8181818181818198E-2</v>
      </c>
      <c r="K14" s="1">
        <v>1.27272727272727E-3</v>
      </c>
      <c r="L14" s="2">
        <v>0.46543181818181817</v>
      </c>
      <c r="M14" t="s">
        <v>108</v>
      </c>
      <c r="N14">
        <v>1</v>
      </c>
    </row>
    <row r="15" spans="1:14" x14ac:dyDescent="0.3">
      <c r="A15" t="s">
        <v>23</v>
      </c>
      <c r="B15">
        <v>28</v>
      </c>
      <c r="C15">
        <v>110</v>
      </c>
      <c r="D15">
        <v>25</v>
      </c>
      <c r="E15" s="1">
        <v>9.0909090909090905E-3</v>
      </c>
      <c r="F15" s="1">
        <v>0</v>
      </c>
      <c r="G15" s="1">
        <v>0.118181818181818</v>
      </c>
      <c r="H15" s="1">
        <v>5.0000000000000001E-4</v>
      </c>
      <c r="I15" s="1">
        <v>0.109090909090909</v>
      </c>
      <c r="J15" s="1">
        <v>9.0909090909090905E-3</v>
      </c>
      <c r="K15" s="1">
        <v>1.63636363636364E-3</v>
      </c>
      <c r="L15" s="2">
        <v>0.26420454545454569</v>
      </c>
      <c r="M15" t="s">
        <v>108</v>
      </c>
      <c r="N15">
        <v>1</v>
      </c>
    </row>
    <row r="16" spans="1:14" x14ac:dyDescent="0.3">
      <c r="A16" t="s">
        <v>24</v>
      </c>
      <c r="B16">
        <v>28</v>
      </c>
      <c r="C16">
        <v>110</v>
      </c>
      <c r="D16">
        <v>25</v>
      </c>
      <c r="E16" s="1">
        <v>1.8181818181818198E-2</v>
      </c>
      <c r="F16" s="1">
        <v>0</v>
      </c>
      <c r="G16" s="1">
        <v>2.7272727272727299E-2</v>
      </c>
      <c r="H16" s="1">
        <v>2.27272727272727E-4</v>
      </c>
      <c r="I16" s="1">
        <v>0.2</v>
      </c>
      <c r="J16" s="1">
        <v>0</v>
      </c>
      <c r="K16" s="1">
        <v>2.54545454545455E-3</v>
      </c>
      <c r="L16" s="2">
        <v>0.57152272727272724</v>
      </c>
      <c r="M16" t="s">
        <v>107</v>
      </c>
      <c r="N16">
        <v>2</v>
      </c>
    </row>
    <row r="17" spans="1:14" x14ac:dyDescent="0.3">
      <c r="A17" t="s">
        <v>25</v>
      </c>
      <c r="B17">
        <v>28</v>
      </c>
      <c r="C17">
        <v>100</v>
      </c>
      <c r="D17">
        <v>25</v>
      </c>
      <c r="E17" s="1">
        <v>0.02</v>
      </c>
      <c r="F17" s="1">
        <v>0.01</v>
      </c>
      <c r="G17" s="1">
        <v>0.02</v>
      </c>
      <c r="H17" s="1">
        <v>3.5E-4</v>
      </c>
      <c r="I17" s="1">
        <v>0.21</v>
      </c>
      <c r="J17" s="1">
        <v>0</v>
      </c>
      <c r="K17" s="1">
        <v>2.8999999999999998E-3</v>
      </c>
      <c r="L17" s="2">
        <v>0.62117500000000003</v>
      </c>
      <c r="M17" t="s">
        <v>107</v>
      </c>
      <c r="N17">
        <v>2</v>
      </c>
    </row>
    <row r="18" spans="1:14" x14ac:dyDescent="0.3">
      <c r="A18" t="s">
        <v>26</v>
      </c>
      <c r="B18">
        <v>28</v>
      </c>
      <c r="C18">
        <v>110</v>
      </c>
      <c r="D18">
        <v>25</v>
      </c>
      <c r="E18" s="1">
        <v>9.0909090909090905E-3</v>
      </c>
      <c r="F18" s="1">
        <v>9.0909090909090905E-3</v>
      </c>
      <c r="G18" s="1">
        <v>0.109090909090909</v>
      </c>
      <c r="H18" s="1">
        <v>1.81818181818182E-4</v>
      </c>
      <c r="I18" s="1">
        <v>0.118181818181818</v>
      </c>
      <c r="J18" s="1">
        <v>0</v>
      </c>
      <c r="K18" s="1">
        <v>8.1818181818181805E-4</v>
      </c>
      <c r="L18" s="2">
        <v>0.31950000000000001</v>
      </c>
      <c r="M18" t="s">
        <v>108</v>
      </c>
      <c r="N18">
        <v>1</v>
      </c>
    </row>
    <row r="19" spans="1:14" x14ac:dyDescent="0.3">
      <c r="A19" t="s">
        <v>27</v>
      </c>
      <c r="B19">
        <v>28</v>
      </c>
      <c r="C19">
        <v>110</v>
      </c>
      <c r="D19">
        <v>25</v>
      </c>
      <c r="E19" s="1">
        <v>9.0909090909090905E-3</v>
      </c>
      <c r="F19" s="1">
        <v>0</v>
      </c>
      <c r="G19" s="1">
        <v>0.118181818181818</v>
      </c>
      <c r="H19" s="1">
        <v>5.9090909090909105E-4</v>
      </c>
      <c r="I19" s="1">
        <v>0.109090909090909</v>
      </c>
      <c r="J19" s="1">
        <v>9.0909090909090905E-3</v>
      </c>
      <c r="K19" s="1">
        <v>1.63636363636364E-3</v>
      </c>
      <c r="L19" s="2">
        <v>0.26434090909090935</v>
      </c>
      <c r="M19" t="s">
        <v>108</v>
      </c>
      <c r="N19">
        <v>1</v>
      </c>
    </row>
    <row r="20" spans="1:14" x14ac:dyDescent="0.3">
      <c r="A20" t="s">
        <v>28</v>
      </c>
      <c r="B20">
        <v>28</v>
      </c>
      <c r="C20">
        <v>110</v>
      </c>
      <c r="D20">
        <v>25</v>
      </c>
      <c r="E20" s="1">
        <v>2.7272727272727299E-2</v>
      </c>
      <c r="F20" s="1">
        <v>3.6363636363636397E-2</v>
      </c>
      <c r="G20" s="1">
        <v>6.3636363636363602E-2</v>
      </c>
      <c r="H20" s="1">
        <v>1.4545454545454499E-3</v>
      </c>
      <c r="I20" s="1">
        <v>9.0909090909090898E-2</v>
      </c>
      <c r="J20" s="1">
        <v>2.7272727272727299E-2</v>
      </c>
      <c r="K20" s="1">
        <v>1.27272727272727E-3</v>
      </c>
      <c r="L20" s="2">
        <v>0.46618181818181831</v>
      </c>
      <c r="M20" t="s">
        <v>108</v>
      </c>
      <c r="N20">
        <v>1</v>
      </c>
    </row>
    <row r="21" spans="1:14" x14ac:dyDescent="0.3">
      <c r="A21" t="s">
        <v>29</v>
      </c>
      <c r="B21">
        <v>28</v>
      </c>
      <c r="C21">
        <v>100</v>
      </c>
      <c r="D21">
        <v>0</v>
      </c>
      <c r="E21" s="1">
        <v>0.03</v>
      </c>
      <c r="F21" s="1">
        <v>0.01</v>
      </c>
      <c r="G21" s="1">
        <v>0</v>
      </c>
      <c r="H21" s="1">
        <v>-1.0000000000000001E-5</v>
      </c>
      <c r="I21" s="1">
        <v>0.21</v>
      </c>
      <c r="J21" s="1">
        <v>0</v>
      </c>
      <c r="K21" s="1">
        <v>8.0000000000000004E-4</v>
      </c>
      <c r="L21" s="2">
        <v>0.31878499999999999</v>
      </c>
      <c r="M21" t="s">
        <v>108</v>
      </c>
      <c r="N21">
        <v>1</v>
      </c>
    </row>
    <row r="22" spans="1:14" x14ac:dyDescent="0.3">
      <c r="A22" t="s">
        <v>30</v>
      </c>
      <c r="B22">
        <v>28</v>
      </c>
      <c r="C22">
        <v>110</v>
      </c>
      <c r="D22">
        <v>25</v>
      </c>
      <c r="E22" s="1">
        <v>1.8181818181818198E-2</v>
      </c>
      <c r="F22" s="1">
        <v>9.0909090909090905E-3</v>
      </c>
      <c r="G22" s="1">
        <v>2.7272727272727299E-2</v>
      </c>
      <c r="H22" s="1">
        <v>2.7272727272727301E-4</v>
      </c>
      <c r="I22" s="1">
        <v>0.190909090909091</v>
      </c>
      <c r="J22" s="1">
        <v>0</v>
      </c>
      <c r="K22" s="1">
        <v>2E-3</v>
      </c>
      <c r="L22" s="2">
        <v>0.58150000000000002</v>
      </c>
      <c r="M22" t="s">
        <v>107</v>
      </c>
      <c r="N22">
        <v>2</v>
      </c>
    </row>
    <row r="23" spans="1:14" x14ac:dyDescent="0.3">
      <c r="A23" t="s">
        <v>31</v>
      </c>
      <c r="B23">
        <v>28</v>
      </c>
      <c r="C23">
        <v>100</v>
      </c>
      <c r="D23">
        <v>25</v>
      </c>
      <c r="E23" s="1">
        <v>0.02</v>
      </c>
      <c r="F23" s="1">
        <v>0.02</v>
      </c>
      <c r="G23" s="1">
        <v>0.1</v>
      </c>
      <c r="H23" s="1">
        <v>1.1999999999999999E-3</v>
      </c>
      <c r="I23" s="1">
        <v>0.11</v>
      </c>
      <c r="J23" s="1">
        <v>0.01</v>
      </c>
      <c r="K23" s="1">
        <v>1.4E-3</v>
      </c>
      <c r="L23" s="2">
        <v>0.37469999999999998</v>
      </c>
      <c r="M23" t="s">
        <v>108</v>
      </c>
      <c r="N23">
        <v>1</v>
      </c>
    </row>
    <row r="24" spans="1:14" x14ac:dyDescent="0.3">
      <c r="A24" t="s">
        <v>32</v>
      </c>
      <c r="B24">
        <v>28</v>
      </c>
      <c r="C24">
        <v>100</v>
      </c>
      <c r="D24">
        <v>25</v>
      </c>
      <c r="E24" s="1">
        <v>0.02</v>
      </c>
      <c r="F24" s="1">
        <v>0.01</v>
      </c>
      <c r="G24" s="1">
        <v>0.05</v>
      </c>
      <c r="H24" s="1">
        <v>8.0000000000000004E-4</v>
      </c>
      <c r="I24" s="1">
        <v>0.18</v>
      </c>
      <c r="J24" s="1">
        <v>0</v>
      </c>
      <c r="K24" s="1">
        <v>1.9E-3</v>
      </c>
      <c r="L24" s="2">
        <v>0.53334999999999999</v>
      </c>
      <c r="M24" t="s">
        <v>107</v>
      </c>
      <c r="N24">
        <v>2</v>
      </c>
    </row>
    <row r="25" spans="1:14" x14ac:dyDescent="0.3">
      <c r="A25" t="s">
        <v>33</v>
      </c>
      <c r="B25">
        <v>28</v>
      </c>
      <c r="C25">
        <v>110</v>
      </c>
      <c r="D25">
        <v>25</v>
      </c>
      <c r="E25" s="1">
        <v>1.8181818181818198E-2</v>
      </c>
      <c r="F25" s="1">
        <v>9.0909090909090905E-3</v>
      </c>
      <c r="G25" s="1">
        <v>0.118181818181818</v>
      </c>
      <c r="H25" s="1">
        <v>2.7272727272727301E-4</v>
      </c>
      <c r="I25" s="1">
        <v>0.1</v>
      </c>
      <c r="J25" s="1">
        <v>9.0909090909090905E-3</v>
      </c>
      <c r="K25" s="1">
        <v>1.13636363636364E-3</v>
      </c>
      <c r="L25" s="2">
        <v>0.30097727272727309</v>
      </c>
      <c r="M25" t="s">
        <v>108</v>
      </c>
      <c r="N25">
        <v>1</v>
      </c>
    </row>
    <row r="26" spans="1:14" x14ac:dyDescent="0.3">
      <c r="A26" t="s">
        <v>34</v>
      </c>
      <c r="B26">
        <v>28</v>
      </c>
      <c r="C26">
        <v>110</v>
      </c>
      <c r="D26">
        <v>25</v>
      </c>
      <c r="E26" s="1">
        <v>9.0909090909090905E-3</v>
      </c>
      <c r="F26" s="1">
        <v>9.0909090909090905E-3</v>
      </c>
      <c r="G26" s="1">
        <v>0.1</v>
      </c>
      <c r="H26" s="1">
        <v>2.27272727272727E-4</v>
      </c>
      <c r="I26" s="1">
        <v>0.12727272727272701</v>
      </c>
      <c r="J26" s="1">
        <v>0</v>
      </c>
      <c r="K26" s="1">
        <v>1.8181818181818199E-3</v>
      </c>
      <c r="L26" s="2">
        <v>0.34534090909090881</v>
      </c>
      <c r="M26" t="s">
        <v>108</v>
      </c>
      <c r="N26">
        <v>1</v>
      </c>
    </row>
    <row r="27" spans="1:14" x14ac:dyDescent="0.3">
      <c r="A27" t="s">
        <v>35</v>
      </c>
      <c r="B27">
        <v>28</v>
      </c>
      <c r="C27">
        <v>100</v>
      </c>
      <c r="D27">
        <v>25</v>
      </c>
      <c r="E27" s="1">
        <v>0.03</v>
      </c>
      <c r="F27" s="1">
        <v>0.03</v>
      </c>
      <c r="G27" s="1">
        <v>7.0000000000000007E-2</v>
      </c>
      <c r="H27" s="1">
        <v>1E-3</v>
      </c>
      <c r="I27" s="1">
        <v>0.14000000000000001</v>
      </c>
      <c r="J27" s="1">
        <v>0</v>
      </c>
      <c r="K27" s="1">
        <v>0</v>
      </c>
      <c r="L27" s="2">
        <v>0.52649999999999997</v>
      </c>
      <c r="M27" t="s">
        <v>107</v>
      </c>
      <c r="N27">
        <v>2</v>
      </c>
    </row>
    <row r="28" spans="1:14" x14ac:dyDescent="0.3">
      <c r="A28" t="s">
        <v>38</v>
      </c>
      <c r="B28">
        <v>28</v>
      </c>
      <c r="C28">
        <v>110</v>
      </c>
      <c r="D28">
        <v>25</v>
      </c>
      <c r="E28" s="1">
        <v>9.0909090909090905E-3</v>
      </c>
      <c r="F28" s="1">
        <v>0</v>
      </c>
      <c r="G28" s="1">
        <v>0.109090909090909</v>
      </c>
      <c r="H28" s="1">
        <v>2.27272727272727E-4</v>
      </c>
      <c r="I28" s="1">
        <v>0.118181818181818</v>
      </c>
      <c r="J28" s="1">
        <v>9.0909090909090905E-3</v>
      </c>
      <c r="K28" s="1">
        <v>1.2272727272727301E-3</v>
      </c>
      <c r="L28" s="2">
        <v>0.29168181818181815</v>
      </c>
      <c r="M28" t="s">
        <v>108</v>
      </c>
      <c r="N28">
        <v>1</v>
      </c>
    </row>
    <row r="29" spans="1:14" x14ac:dyDescent="0.3">
      <c r="A29" t="s">
        <v>39</v>
      </c>
      <c r="B29">
        <v>28</v>
      </c>
      <c r="C29">
        <v>100</v>
      </c>
      <c r="D29">
        <v>25</v>
      </c>
      <c r="E29" s="1">
        <v>0.02</v>
      </c>
      <c r="F29" s="1">
        <v>0</v>
      </c>
      <c r="G29" s="1">
        <v>0.15</v>
      </c>
      <c r="H29" s="1">
        <v>4.0000000000000002E-4</v>
      </c>
      <c r="I29" s="1">
        <v>0.11</v>
      </c>
      <c r="J29" s="1">
        <v>0</v>
      </c>
      <c r="K29" s="1">
        <v>4.4999999999999999E-4</v>
      </c>
      <c r="L29" s="2">
        <v>0.24492499999999998</v>
      </c>
      <c r="M29" t="s">
        <v>108</v>
      </c>
      <c r="N29">
        <v>1</v>
      </c>
    </row>
    <row r="30" spans="1:14" x14ac:dyDescent="0.3">
      <c r="A30" t="s">
        <v>40</v>
      </c>
      <c r="B30">
        <v>28</v>
      </c>
      <c r="C30">
        <v>110</v>
      </c>
      <c r="D30">
        <v>25</v>
      </c>
      <c r="E30" s="1">
        <v>9.0909090909090905E-3</v>
      </c>
      <c r="F30" s="1">
        <v>0</v>
      </c>
      <c r="G30" s="1">
        <v>8.1818181818181804E-2</v>
      </c>
      <c r="H30" s="1">
        <v>4.0909090909090903E-4</v>
      </c>
      <c r="I30" s="1">
        <v>0.13636363636363599</v>
      </c>
      <c r="J30" s="1">
        <v>9.0909090909090905E-3</v>
      </c>
      <c r="K30" s="1">
        <v>2.54545454545455E-3</v>
      </c>
      <c r="L30" s="2">
        <v>0.36270454545454511</v>
      </c>
      <c r="M30" t="s">
        <v>108</v>
      </c>
      <c r="N30">
        <v>1</v>
      </c>
    </row>
    <row r="31" spans="1:14" x14ac:dyDescent="0.3">
      <c r="A31" t="s">
        <v>41</v>
      </c>
      <c r="B31">
        <v>28</v>
      </c>
      <c r="C31">
        <v>100</v>
      </c>
      <c r="D31">
        <v>25</v>
      </c>
      <c r="E31" s="1">
        <v>0.03</v>
      </c>
      <c r="F31" s="1">
        <v>0.03</v>
      </c>
      <c r="G31" s="1">
        <v>0.05</v>
      </c>
      <c r="H31" s="1">
        <v>8.4999999999999995E-4</v>
      </c>
      <c r="I31" s="1">
        <v>0.15</v>
      </c>
      <c r="J31" s="1">
        <v>0.01</v>
      </c>
      <c r="K31" s="1">
        <v>1.4E-3</v>
      </c>
      <c r="L31" s="2">
        <v>0.56417499999999998</v>
      </c>
      <c r="M31" t="s">
        <v>107</v>
      </c>
      <c r="N31">
        <v>2</v>
      </c>
    </row>
    <row r="32" spans="1:14" x14ac:dyDescent="0.3">
      <c r="A32" t="s">
        <v>42</v>
      </c>
      <c r="B32">
        <v>28</v>
      </c>
      <c r="C32">
        <v>110</v>
      </c>
      <c r="D32">
        <v>25</v>
      </c>
      <c r="E32" s="1">
        <v>2.7272727272727299E-2</v>
      </c>
      <c r="F32" s="1">
        <v>2.7272727272727299E-2</v>
      </c>
      <c r="G32" s="1">
        <v>2.7272727272727299E-2</v>
      </c>
      <c r="H32" s="1">
        <v>8.1818181818181805E-4</v>
      </c>
      <c r="I32" s="1">
        <v>0.15454545454545501</v>
      </c>
      <c r="J32" s="1">
        <v>0</v>
      </c>
      <c r="K32" s="1">
        <v>1.5454545454545499E-3</v>
      </c>
      <c r="L32" s="2">
        <v>0.61027272727272786</v>
      </c>
      <c r="M32" t="s">
        <v>107</v>
      </c>
      <c r="N32">
        <v>2</v>
      </c>
    </row>
    <row r="33" spans="1:14" x14ac:dyDescent="0.3">
      <c r="A33" t="s">
        <v>43</v>
      </c>
      <c r="B33">
        <v>28</v>
      </c>
      <c r="C33">
        <v>120</v>
      </c>
      <c r="D33">
        <v>25</v>
      </c>
      <c r="E33" s="1">
        <v>2.5000000000000001E-2</v>
      </c>
      <c r="F33" s="1">
        <v>2.5000000000000001E-2</v>
      </c>
      <c r="G33" s="1">
        <v>3.3333333333333298E-2</v>
      </c>
      <c r="H33" s="1">
        <v>8.3333333333333295E-4</v>
      </c>
      <c r="I33" s="1">
        <v>0.108333333333333</v>
      </c>
      <c r="J33" s="1">
        <v>2.5000000000000001E-2</v>
      </c>
      <c r="K33" s="1">
        <v>6.2500000000000001E-4</v>
      </c>
      <c r="L33" s="2">
        <v>0.51697916666666632</v>
      </c>
      <c r="M33" t="s">
        <v>107</v>
      </c>
      <c r="N33">
        <v>2</v>
      </c>
    </row>
    <row r="34" spans="1:14" x14ac:dyDescent="0.3">
      <c r="A34" t="s">
        <v>44</v>
      </c>
      <c r="B34">
        <v>28</v>
      </c>
      <c r="C34">
        <v>120</v>
      </c>
      <c r="D34">
        <v>25</v>
      </c>
      <c r="E34" s="1">
        <v>8.3333333333333297E-3</v>
      </c>
      <c r="F34" s="1">
        <v>8.3333333333333297E-3</v>
      </c>
      <c r="G34" s="1">
        <v>9.1666666666666605E-2</v>
      </c>
      <c r="H34" s="1">
        <v>3.7500000000000001E-4</v>
      </c>
      <c r="I34" s="1">
        <v>0.1</v>
      </c>
      <c r="J34" s="1">
        <v>1.6666666666666701E-2</v>
      </c>
      <c r="K34" s="1">
        <v>1.83333333333333E-3</v>
      </c>
      <c r="L34" s="2">
        <v>0.3144791666666667</v>
      </c>
      <c r="M34" t="s">
        <v>108</v>
      </c>
      <c r="N34">
        <v>1</v>
      </c>
    </row>
    <row r="35" spans="1:14" x14ac:dyDescent="0.3">
      <c r="A35" t="s">
        <v>45</v>
      </c>
      <c r="B35">
        <v>28</v>
      </c>
      <c r="C35">
        <v>110</v>
      </c>
      <c r="D35">
        <v>25</v>
      </c>
      <c r="E35" s="1">
        <v>2.7272727272727299E-2</v>
      </c>
      <c r="F35" s="1">
        <v>1.3636363636363599E-2</v>
      </c>
      <c r="G35" s="1">
        <v>9.0909090909090898E-2</v>
      </c>
      <c r="H35" s="1">
        <v>8.1818181818181805E-4</v>
      </c>
      <c r="I35" s="1">
        <v>0.104545454545455</v>
      </c>
      <c r="J35" s="1">
        <v>9.0909090909090905E-3</v>
      </c>
      <c r="K35" s="1">
        <v>2.27272727272727E-3</v>
      </c>
      <c r="L35" s="2">
        <v>0.39554545454545509</v>
      </c>
      <c r="M35" t="s">
        <v>108</v>
      </c>
      <c r="N35">
        <v>1</v>
      </c>
    </row>
    <row r="36" spans="1:14" x14ac:dyDescent="0.3">
      <c r="A36" t="s">
        <v>46</v>
      </c>
      <c r="B36">
        <v>28</v>
      </c>
      <c r="C36">
        <v>110</v>
      </c>
      <c r="D36">
        <v>25</v>
      </c>
      <c r="E36" s="1">
        <v>9.0909090909090905E-3</v>
      </c>
      <c r="F36" s="1">
        <v>0</v>
      </c>
      <c r="G36" s="1">
        <v>0.1</v>
      </c>
      <c r="H36" s="1">
        <v>3.1818181818181799E-4</v>
      </c>
      <c r="I36" s="1">
        <v>0.12727272727272701</v>
      </c>
      <c r="J36" s="1">
        <v>0</v>
      </c>
      <c r="K36" s="1">
        <v>1.63636363636364E-3</v>
      </c>
      <c r="L36" s="2">
        <v>0.32756818181818148</v>
      </c>
      <c r="M36" t="s">
        <v>108</v>
      </c>
      <c r="N36">
        <v>1</v>
      </c>
    </row>
    <row r="37" spans="1:14" x14ac:dyDescent="0.3">
      <c r="A37" t="s">
        <v>47</v>
      </c>
      <c r="B37">
        <v>28</v>
      </c>
      <c r="C37">
        <v>110</v>
      </c>
      <c r="D37">
        <v>100</v>
      </c>
      <c r="E37" s="1">
        <v>1.8181818181818198E-2</v>
      </c>
      <c r="F37" s="1">
        <v>9.0909090909090905E-3</v>
      </c>
      <c r="G37" s="1">
        <v>5.4545454545454501E-2</v>
      </c>
      <c r="H37" s="1">
        <v>5.4545454545454602E-4</v>
      </c>
      <c r="I37" s="1">
        <v>0.15454545454545501</v>
      </c>
      <c r="J37" s="1">
        <v>9.0909090909090905E-3</v>
      </c>
      <c r="K37" s="1">
        <v>1.5454545454545499E-3</v>
      </c>
      <c r="L37" s="2">
        <v>1.6075909090909097</v>
      </c>
      <c r="M37" t="s">
        <v>109</v>
      </c>
      <c r="N37">
        <v>3</v>
      </c>
    </row>
    <row r="38" spans="1:14" x14ac:dyDescent="0.3">
      <c r="A38" t="s">
        <v>49</v>
      </c>
      <c r="B38">
        <v>28</v>
      </c>
      <c r="C38">
        <v>110</v>
      </c>
      <c r="D38">
        <v>25</v>
      </c>
      <c r="E38" s="1">
        <v>1.8181818181818198E-2</v>
      </c>
      <c r="F38" s="1">
        <v>0</v>
      </c>
      <c r="G38" s="1">
        <v>2.7272727272727299E-2</v>
      </c>
      <c r="H38" s="1">
        <v>3.6363636363636399E-4</v>
      </c>
      <c r="I38" s="1">
        <v>0.190909090909091</v>
      </c>
      <c r="J38" s="1">
        <v>9.0909090909090905E-3</v>
      </c>
      <c r="K38" s="1">
        <v>2.3636363636363599E-3</v>
      </c>
      <c r="L38" s="2">
        <v>0.55381818181818199</v>
      </c>
      <c r="M38" t="s">
        <v>107</v>
      </c>
      <c r="N38">
        <v>2</v>
      </c>
    </row>
    <row r="39" spans="1:14" x14ac:dyDescent="0.3">
      <c r="A39" t="s">
        <v>50</v>
      </c>
      <c r="B39">
        <v>28</v>
      </c>
      <c r="C39">
        <v>100</v>
      </c>
      <c r="D39">
        <v>25</v>
      </c>
      <c r="E39" s="1">
        <v>0.04</v>
      </c>
      <c r="F39" s="1">
        <v>0.02</v>
      </c>
      <c r="G39" s="1">
        <v>0.06</v>
      </c>
      <c r="H39" s="1">
        <v>9.5E-4</v>
      </c>
      <c r="I39" s="1">
        <v>0.12</v>
      </c>
      <c r="J39" s="1">
        <v>0.02</v>
      </c>
      <c r="K39" s="1">
        <v>1.5E-3</v>
      </c>
      <c r="L39" s="2">
        <v>0.51417500000000005</v>
      </c>
      <c r="M39" t="s">
        <v>107</v>
      </c>
      <c r="N39">
        <v>2</v>
      </c>
    </row>
    <row r="40" spans="1:14" x14ac:dyDescent="0.3">
      <c r="A40" t="s">
        <v>51</v>
      </c>
      <c r="B40">
        <v>28</v>
      </c>
      <c r="C40">
        <v>110</v>
      </c>
      <c r="D40">
        <v>25</v>
      </c>
      <c r="E40" s="1">
        <v>1.8181818181818198E-2</v>
      </c>
      <c r="F40" s="1">
        <v>0</v>
      </c>
      <c r="G40" s="1">
        <v>0.109090909090909</v>
      </c>
      <c r="H40" s="1">
        <v>5.0000000000000001E-4</v>
      </c>
      <c r="I40" s="1">
        <v>0.109090909090909</v>
      </c>
      <c r="J40" s="1">
        <v>9.0909090909090905E-3</v>
      </c>
      <c r="K40" s="1">
        <v>1.63636363636364E-3</v>
      </c>
      <c r="L40" s="2">
        <v>0.30965909090909099</v>
      </c>
      <c r="M40" t="s">
        <v>108</v>
      </c>
      <c r="N40">
        <v>1</v>
      </c>
    </row>
    <row r="41" spans="1:14" x14ac:dyDescent="0.3">
      <c r="A41" t="s">
        <v>52</v>
      </c>
      <c r="B41">
        <v>28</v>
      </c>
      <c r="C41">
        <v>100</v>
      </c>
      <c r="D41">
        <v>25</v>
      </c>
      <c r="E41" s="1">
        <v>0.04</v>
      </c>
      <c r="F41" s="1">
        <v>0</v>
      </c>
      <c r="G41" s="1">
        <v>0.03</v>
      </c>
      <c r="H41" s="1">
        <v>9.5E-4</v>
      </c>
      <c r="I41" s="1">
        <v>0.16</v>
      </c>
      <c r="J41" s="1">
        <v>0.01</v>
      </c>
      <c r="K41" s="1">
        <v>0</v>
      </c>
      <c r="L41" s="2">
        <v>0.58642499999999997</v>
      </c>
      <c r="M41" t="s">
        <v>107</v>
      </c>
      <c r="N41">
        <v>2</v>
      </c>
    </row>
    <row r="42" spans="1:14" x14ac:dyDescent="0.3">
      <c r="A42" t="s">
        <v>53</v>
      </c>
      <c r="B42">
        <v>28</v>
      </c>
      <c r="C42">
        <v>150</v>
      </c>
      <c r="D42">
        <v>25</v>
      </c>
      <c r="E42" s="1">
        <v>2.66666666666667E-2</v>
      </c>
      <c r="F42" s="1">
        <v>0.02</v>
      </c>
      <c r="G42" s="1">
        <v>7.3333333333333306E-2</v>
      </c>
      <c r="H42" s="1">
        <v>1.1333333333333299E-3</v>
      </c>
      <c r="I42" s="1">
        <v>0.10666666666666701</v>
      </c>
      <c r="J42" s="1">
        <v>0.02</v>
      </c>
      <c r="K42" s="1">
        <v>6.3333333333333297E-4</v>
      </c>
      <c r="L42" s="2">
        <v>0.43575000000000041</v>
      </c>
      <c r="M42" t="s">
        <v>108</v>
      </c>
      <c r="N42">
        <v>1</v>
      </c>
    </row>
    <row r="43" spans="1:14" x14ac:dyDescent="0.3">
      <c r="A43" t="s">
        <v>54</v>
      </c>
      <c r="B43">
        <v>28</v>
      </c>
      <c r="C43">
        <v>150</v>
      </c>
      <c r="D43">
        <v>25</v>
      </c>
      <c r="E43" s="1">
        <v>2.66666666666667E-2</v>
      </c>
      <c r="F43" s="1">
        <v>0.02</v>
      </c>
      <c r="G43" s="1">
        <v>7.3333333333333306E-2</v>
      </c>
      <c r="H43" s="1">
        <v>1.1333333333333299E-3</v>
      </c>
      <c r="I43" s="1">
        <v>0.10666666666666701</v>
      </c>
      <c r="J43" s="1">
        <v>0.02</v>
      </c>
      <c r="K43" s="1">
        <v>1E-3</v>
      </c>
      <c r="L43" s="2">
        <v>0.43520000000000042</v>
      </c>
      <c r="M43" t="s">
        <v>108</v>
      </c>
      <c r="N43">
        <v>1</v>
      </c>
    </row>
    <row r="44" spans="1:14" x14ac:dyDescent="0.3">
      <c r="A44" t="s">
        <v>56</v>
      </c>
      <c r="B44">
        <v>28</v>
      </c>
      <c r="C44">
        <v>100</v>
      </c>
      <c r="D44">
        <v>25</v>
      </c>
      <c r="E44" s="1">
        <v>0.02</v>
      </c>
      <c r="F44" s="1">
        <v>0.02</v>
      </c>
      <c r="G44" s="1">
        <v>0.06</v>
      </c>
      <c r="H44" s="1">
        <v>8.9999999999999998E-4</v>
      </c>
      <c r="I44" s="1">
        <v>0.15</v>
      </c>
      <c r="J44" s="1">
        <v>0.01</v>
      </c>
      <c r="K44" s="1">
        <v>2.2000000000000001E-3</v>
      </c>
      <c r="L44" s="2">
        <v>0.49304999999999993</v>
      </c>
      <c r="M44" t="s">
        <v>108</v>
      </c>
      <c r="N44">
        <v>1</v>
      </c>
    </row>
    <row r="45" spans="1:14" x14ac:dyDescent="0.3">
      <c r="A45" t="s">
        <v>57</v>
      </c>
      <c r="B45">
        <v>28</v>
      </c>
      <c r="C45">
        <v>120</v>
      </c>
      <c r="D45">
        <v>25</v>
      </c>
      <c r="E45" s="1">
        <v>1.6666666666666701E-2</v>
      </c>
      <c r="F45" s="1">
        <v>0</v>
      </c>
      <c r="G45" s="1">
        <v>7.4999999999999997E-2</v>
      </c>
      <c r="H45" s="1">
        <v>3.33333333333333E-4</v>
      </c>
      <c r="I45" s="1">
        <v>0.125</v>
      </c>
      <c r="J45" s="1">
        <v>8.3333333333333297E-3</v>
      </c>
      <c r="K45" s="1">
        <v>1.58333333333333E-3</v>
      </c>
      <c r="L45" s="2">
        <v>0.38979166666666681</v>
      </c>
      <c r="M45" t="s">
        <v>108</v>
      </c>
      <c r="N45">
        <v>1</v>
      </c>
    </row>
    <row r="46" spans="1:14" x14ac:dyDescent="0.3">
      <c r="A46" t="s">
        <v>59</v>
      </c>
      <c r="B46">
        <v>28</v>
      </c>
      <c r="C46">
        <v>90</v>
      </c>
      <c r="D46">
        <v>25</v>
      </c>
      <c r="E46" s="1">
        <v>3.3333333333333298E-2</v>
      </c>
      <c r="F46" s="1">
        <v>3.3333333333333298E-2</v>
      </c>
      <c r="G46" s="1">
        <v>2.2222222222222199E-2</v>
      </c>
      <c r="H46" s="1">
        <v>1E-3</v>
      </c>
      <c r="I46" s="1">
        <v>0.2</v>
      </c>
      <c r="J46" s="1">
        <v>0</v>
      </c>
      <c r="K46" s="1">
        <v>1.88888888888889E-3</v>
      </c>
      <c r="L46" s="2">
        <v>0.69588888888888878</v>
      </c>
      <c r="M46" t="s">
        <v>107</v>
      </c>
      <c r="N46">
        <v>2</v>
      </c>
    </row>
    <row r="47" spans="1:14" x14ac:dyDescent="0.3">
      <c r="A47" t="s">
        <v>62</v>
      </c>
      <c r="B47">
        <v>28</v>
      </c>
      <c r="C47">
        <v>100</v>
      </c>
      <c r="D47">
        <v>100</v>
      </c>
      <c r="E47" s="1">
        <v>0.03</v>
      </c>
      <c r="F47" s="1">
        <v>0.01</v>
      </c>
      <c r="G47" s="1">
        <v>0.03</v>
      </c>
      <c r="H47" s="1">
        <v>4.4999999999999999E-4</v>
      </c>
      <c r="I47" s="1">
        <v>0.2</v>
      </c>
      <c r="J47" s="1">
        <v>0</v>
      </c>
      <c r="K47" s="1">
        <v>3.2000000000000002E-3</v>
      </c>
      <c r="L47" s="2">
        <v>1.7458750000000001</v>
      </c>
      <c r="M47" t="s">
        <v>109</v>
      </c>
      <c r="N47">
        <v>3</v>
      </c>
    </row>
    <row r="48" spans="1:14" x14ac:dyDescent="0.3">
      <c r="A48" t="s">
        <v>65</v>
      </c>
      <c r="B48">
        <v>28</v>
      </c>
      <c r="C48">
        <v>100</v>
      </c>
      <c r="D48">
        <v>25</v>
      </c>
      <c r="E48" s="1">
        <v>0.04</v>
      </c>
      <c r="F48" s="1">
        <v>0.02</v>
      </c>
      <c r="G48" s="1">
        <v>0.06</v>
      </c>
      <c r="H48" s="1">
        <v>1.1000000000000001E-3</v>
      </c>
      <c r="I48" s="1">
        <v>0.14000000000000001</v>
      </c>
      <c r="J48" s="1">
        <v>0.01</v>
      </c>
      <c r="K48" s="1">
        <v>1.3500000000000001E-3</v>
      </c>
      <c r="L48" s="2">
        <v>0.54462500000000003</v>
      </c>
      <c r="M48" t="s">
        <v>107</v>
      </c>
      <c r="N48">
        <v>2</v>
      </c>
    </row>
    <row r="49" spans="1:14" x14ac:dyDescent="0.3">
      <c r="A49" t="s">
        <v>66</v>
      </c>
      <c r="B49">
        <v>28</v>
      </c>
      <c r="C49">
        <v>100</v>
      </c>
      <c r="D49">
        <v>0</v>
      </c>
      <c r="E49" s="1">
        <v>0.05</v>
      </c>
      <c r="F49" s="1">
        <v>2.7E-2</v>
      </c>
      <c r="G49" s="1">
        <v>-0.01</v>
      </c>
      <c r="H49" s="1">
        <v>1.1000000000000001E-3</v>
      </c>
      <c r="I49" s="1">
        <v>-0.01</v>
      </c>
      <c r="J49" s="1">
        <v>0.02</v>
      </c>
      <c r="K49" s="1">
        <v>0</v>
      </c>
      <c r="L49" s="2">
        <v>0.19565000000000002</v>
      </c>
      <c r="M49" t="s">
        <v>108</v>
      </c>
      <c r="N49">
        <v>1</v>
      </c>
    </row>
    <row r="50" spans="1:14" x14ac:dyDescent="0.3">
      <c r="A50" t="s">
        <v>68</v>
      </c>
      <c r="B50">
        <v>28</v>
      </c>
      <c r="C50">
        <v>100</v>
      </c>
      <c r="D50">
        <v>25</v>
      </c>
      <c r="E50" s="1">
        <v>0.03</v>
      </c>
      <c r="F50" s="1">
        <v>2.5000000000000001E-2</v>
      </c>
      <c r="G50" s="1">
        <v>0.08</v>
      </c>
      <c r="H50" s="1">
        <v>1.4E-3</v>
      </c>
      <c r="I50" s="1">
        <v>0.105</v>
      </c>
      <c r="J50" s="1">
        <v>0.02</v>
      </c>
      <c r="K50" s="1">
        <v>1.4E-3</v>
      </c>
      <c r="L50" s="2">
        <v>0.43999999999999995</v>
      </c>
      <c r="M50" t="s">
        <v>108</v>
      </c>
      <c r="N50">
        <v>1</v>
      </c>
    </row>
    <row r="51" spans="1:14" x14ac:dyDescent="0.3">
      <c r="A51" t="s">
        <v>69</v>
      </c>
      <c r="B51">
        <v>28</v>
      </c>
      <c r="C51">
        <v>90</v>
      </c>
      <c r="D51">
        <v>25</v>
      </c>
      <c r="E51" s="1">
        <v>2.2222222222222199E-2</v>
      </c>
      <c r="F51" s="1">
        <v>2.2222222222222199E-2</v>
      </c>
      <c r="G51" s="1">
        <v>6.6666666666666693E-2</v>
      </c>
      <c r="H51" s="1">
        <v>1.22222222222222E-3</v>
      </c>
      <c r="I51" s="1">
        <v>0.16666666666666699</v>
      </c>
      <c r="J51" s="1">
        <v>0</v>
      </c>
      <c r="K51" s="1">
        <v>0</v>
      </c>
      <c r="L51" s="2">
        <v>0.52127777777777795</v>
      </c>
      <c r="M51" t="s">
        <v>107</v>
      </c>
      <c r="N51">
        <v>2</v>
      </c>
    </row>
    <row r="52" spans="1:14" x14ac:dyDescent="0.3">
      <c r="A52" t="s">
        <v>70</v>
      </c>
      <c r="B52">
        <v>28</v>
      </c>
      <c r="C52">
        <v>110</v>
      </c>
      <c r="D52">
        <v>25</v>
      </c>
      <c r="E52" s="1">
        <v>9.0909090909090905E-3</v>
      </c>
      <c r="F52" s="1">
        <v>0</v>
      </c>
      <c r="G52" s="1">
        <v>1.8181818181818198E-2</v>
      </c>
      <c r="H52" s="1">
        <v>2.7272727272727301E-4</v>
      </c>
      <c r="I52" s="1">
        <v>0.20909090909090899</v>
      </c>
      <c r="J52" s="1">
        <v>0</v>
      </c>
      <c r="K52" s="1">
        <v>2.1818181818181802E-3</v>
      </c>
      <c r="L52" s="2">
        <v>0.57213636363636344</v>
      </c>
      <c r="M52" t="s">
        <v>107</v>
      </c>
      <c r="N52">
        <v>2</v>
      </c>
    </row>
    <row r="53" spans="1:14" x14ac:dyDescent="0.3">
      <c r="A53" t="s">
        <v>71</v>
      </c>
      <c r="B53">
        <v>28</v>
      </c>
      <c r="C53">
        <v>110</v>
      </c>
      <c r="D53">
        <v>25</v>
      </c>
      <c r="E53" s="1">
        <v>1.8181818181818198E-2</v>
      </c>
      <c r="F53" s="1">
        <v>0</v>
      </c>
      <c r="G53" s="1">
        <v>2.7272727272727299E-2</v>
      </c>
      <c r="H53" s="1">
        <v>3.1818181818181799E-4</v>
      </c>
      <c r="I53" s="1">
        <v>0.2</v>
      </c>
      <c r="J53" s="1">
        <v>0</v>
      </c>
      <c r="K53" s="1">
        <v>2.6363636363636398E-3</v>
      </c>
      <c r="L53" s="2">
        <v>0.57152272727272724</v>
      </c>
      <c r="M53" t="s">
        <v>107</v>
      </c>
      <c r="N53">
        <v>2</v>
      </c>
    </row>
    <row r="54" spans="1:14" x14ac:dyDescent="0.3">
      <c r="A54" t="s">
        <v>73</v>
      </c>
      <c r="B54">
        <v>28</v>
      </c>
      <c r="C54">
        <v>90</v>
      </c>
      <c r="D54">
        <v>0</v>
      </c>
      <c r="E54" s="1">
        <v>3.3333333333333298E-2</v>
      </c>
      <c r="F54" s="1">
        <v>4.4444444444444398E-2</v>
      </c>
      <c r="G54" s="1">
        <v>0</v>
      </c>
      <c r="H54" s="1">
        <v>1.55555555555556E-3</v>
      </c>
      <c r="I54" s="1">
        <v>0.211111111111111</v>
      </c>
      <c r="J54" s="1">
        <v>0</v>
      </c>
      <c r="K54" s="1">
        <v>0</v>
      </c>
      <c r="L54" s="2">
        <v>0.40233333333333299</v>
      </c>
      <c r="M54" t="s">
        <v>108</v>
      </c>
      <c r="N54">
        <v>1</v>
      </c>
    </row>
    <row r="55" spans="1:14" x14ac:dyDescent="0.3">
      <c r="A55" t="s">
        <v>74</v>
      </c>
      <c r="B55">
        <v>28</v>
      </c>
      <c r="C55">
        <v>90</v>
      </c>
      <c r="D55">
        <v>0</v>
      </c>
      <c r="E55" s="1">
        <v>3.3333333333333298E-2</v>
      </c>
      <c r="F55" s="1">
        <v>3.3333333333333298E-2</v>
      </c>
      <c r="G55" s="1">
        <v>0</v>
      </c>
      <c r="H55" s="1">
        <v>1.33333333333333E-3</v>
      </c>
      <c r="I55" s="1">
        <v>0.22222222222222199</v>
      </c>
      <c r="J55" s="1">
        <v>0</v>
      </c>
      <c r="K55" s="1">
        <v>0</v>
      </c>
      <c r="L55" s="2">
        <v>0.39088888888888851</v>
      </c>
      <c r="M55" t="s">
        <v>108</v>
      </c>
      <c r="N55">
        <v>1</v>
      </c>
    </row>
    <row r="56" spans="1:14" x14ac:dyDescent="0.3">
      <c r="A56" t="s">
        <v>75</v>
      </c>
      <c r="B56">
        <v>28</v>
      </c>
      <c r="C56">
        <v>110</v>
      </c>
      <c r="D56">
        <v>25</v>
      </c>
      <c r="E56" s="1">
        <v>1.8181818181818198E-2</v>
      </c>
      <c r="F56" s="1">
        <v>9.0909090909090905E-3</v>
      </c>
      <c r="G56" s="1">
        <v>0.13636363636363599</v>
      </c>
      <c r="H56" s="1">
        <v>3.6363636363636399E-4</v>
      </c>
      <c r="I56" s="1">
        <v>8.1818181818181804E-2</v>
      </c>
      <c r="J56" s="1">
        <v>9.0909090909090905E-3</v>
      </c>
      <c r="K56" s="1">
        <v>6.3636363636363597E-4</v>
      </c>
      <c r="L56" s="2">
        <v>0.24731818181818258</v>
      </c>
      <c r="M56" t="s">
        <v>108</v>
      </c>
      <c r="N56">
        <v>1</v>
      </c>
    </row>
    <row r="57" spans="1:14" x14ac:dyDescent="0.3">
      <c r="A57" t="s">
        <v>76</v>
      </c>
      <c r="B57">
        <v>28</v>
      </c>
      <c r="C57">
        <v>110</v>
      </c>
      <c r="D57">
        <v>25</v>
      </c>
      <c r="E57" s="1">
        <v>5.4545454545454501E-2</v>
      </c>
      <c r="F57" s="1">
        <v>9.0909090909090905E-3</v>
      </c>
      <c r="G57" s="1">
        <v>2.7272727272727299E-2</v>
      </c>
      <c r="H57" s="1">
        <v>5.0000000000000001E-4</v>
      </c>
      <c r="I57" s="1">
        <v>0.145454545454545</v>
      </c>
      <c r="J57" s="1">
        <v>0</v>
      </c>
      <c r="K57" s="1">
        <v>2.0909090909090899E-3</v>
      </c>
      <c r="L57" s="2">
        <v>0.64534090909090847</v>
      </c>
      <c r="M57" t="s">
        <v>107</v>
      </c>
      <c r="N57">
        <v>2</v>
      </c>
    </row>
    <row r="58" spans="1:14" x14ac:dyDescent="0.3">
      <c r="A58" t="s">
        <v>77</v>
      </c>
      <c r="B58">
        <v>28</v>
      </c>
      <c r="C58">
        <v>90</v>
      </c>
      <c r="D58">
        <v>25</v>
      </c>
      <c r="E58" s="1">
        <v>2.2222222222222199E-2</v>
      </c>
      <c r="F58" s="1">
        <v>3.3333333333333298E-2</v>
      </c>
      <c r="G58" s="1">
        <v>5.5555555555555601E-2</v>
      </c>
      <c r="H58" s="1">
        <v>1E-3</v>
      </c>
      <c r="I58" s="1">
        <v>0.16666666666666699</v>
      </c>
      <c r="J58" s="1">
        <v>0</v>
      </c>
      <c r="K58" s="1">
        <v>1.6666666666666701E-4</v>
      </c>
      <c r="L58" s="2">
        <v>0.56513888888888897</v>
      </c>
      <c r="M58" t="s">
        <v>107</v>
      </c>
      <c r="N58">
        <v>2</v>
      </c>
    </row>
    <row r="59" spans="1:14" x14ac:dyDescent="0.3">
      <c r="A59" t="s">
        <v>78</v>
      </c>
      <c r="B59">
        <v>28</v>
      </c>
      <c r="C59">
        <v>110</v>
      </c>
      <c r="D59">
        <v>100</v>
      </c>
      <c r="E59" s="1">
        <v>1.8181818181818198E-2</v>
      </c>
      <c r="F59" s="1">
        <v>0</v>
      </c>
      <c r="G59" s="1">
        <v>2.7272727272727299E-2</v>
      </c>
      <c r="H59" s="1">
        <v>3.1818181818181799E-4</v>
      </c>
      <c r="I59" s="1">
        <v>0.190909090909091</v>
      </c>
      <c r="J59" s="1">
        <v>9.0909090909090905E-3</v>
      </c>
      <c r="K59" s="1">
        <v>1.8181818181818199E-3</v>
      </c>
      <c r="L59" s="2">
        <v>1.679568181818182</v>
      </c>
      <c r="M59" t="s">
        <v>109</v>
      </c>
      <c r="N59">
        <v>3</v>
      </c>
    </row>
    <row r="60" spans="1:14" x14ac:dyDescent="0.3">
      <c r="A60" t="s">
        <v>80</v>
      </c>
      <c r="B60">
        <v>28</v>
      </c>
      <c r="C60">
        <v>100</v>
      </c>
      <c r="D60">
        <v>100</v>
      </c>
      <c r="E60" s="1">
        <v>0.03</v>
      </c>
      <c r="F60" s="1">
        <v>0.03</v>
      </c>
      <c r="G60" s="1">
        <v>0.03</v>
      </c>
      <c r="H60" s="1">
        <v>1.1000000000000001E-3</v>
      </c>
      <c r="I60" s="1">
        <v>0.16</v>
      </c>
      <c r="J60" s="1">
        <v>0.01</v>
      </c>
      <c r="K60" s="1">
        <v>2E-3</v>
      </c>
      <c r="L60" s="2">
        <v>1.73865</v>
      </c>
      <c r="M60" t="s">
        <v>109</v>
      </c>
      <c r="N60">
        <v>3</v>
      </c>
    </row>
    <row r="61" spans="1:14" x14ac:dyDescent="0.3">
      <c r="A61" t="s">
        <v>81</v>
      </c>
      <c r="B61">
        <v>28</v>
      </c>
      <c r="C61">
        <v>110</v>
      </c>
      <c r="D61">
        <v>25</v>
      </c>
      <c r="E61" s="1">
        <v>1.8181818181818198E-2</v>
      </c>
      <c r="F61" s="1">
        <v>0</v>
      </c>
      <c r="G61" s="1">
        <v>2.7272727272727299E-2</v>
      </c>
      <c r="H61" s="1">
        <v>5.4545454545454602E-4</v>
      </c>
      <c r="I61" s="1">
        <v>0.190909090909091</v>
      </c>
      <c r="J61" s="1">
        <v>9.0909090909090905E-3</v>
      </c>
      <c r="K61" s="1">
        <v>2.27272727272727E-3</v>
      </c>
      <c r="L61" s="2">
        <v>0.55422727272727279</v>
      </c>
      <c r="M61" t="s">
        <v>107</v>
      </c>
      <c r="N61">
        <v>2</v>
      </c>
    </row>
    <row r="62" spans="1:14" x14ac:dyDescent="0.3">
      <c r="A62" t="s">
        <v>82</v>
      </c>
      <c r="B62">
        <v>28</v>
      </c>
      <c r="C62">
        <v>110</v>
      </c>
      <c r="D62">
        <v>25</v>
      </c>
      <c r="E62" s="1">
        <v>9.0909090909090905E-3</v>
      </c>
      <c r="F62" s="1">
        <v>0</v>
      </c>
      <c r="G62" s="1">
        <v>0.109090909090909</v>
      </c>
      <c r="H62" s="1">
        <v>2.27272727272727E-4</v>
      </c>
      <c r="I62" s="1">
        <v>0.118181818181818</v>
      </c>
      <c r="J62" s="1">
        <v>9.0909090909090905E-3</v>
      </c>
      <c r="K62" s="1">
        <v>1.27272727272727E-3</v>
      </c>
      <c r="L62" s="2">
        <v>0.29161363636363635</v>
      </c>
      <c r="M62" t="s">
        <v>108</v>
      </c>
      <c r="N62">
        <v>1</v>
      </c>
    </row>
    <row r="63" spans="1:14" x14ac:dyDescent="0.3">
      <c r="A63" t="s">
        <v>83</v>
      </c>
      <c r="B63">
        <v>28</v>
      </c>
      <c r="C63">
        <v>100</v>
      </c>
      <c r="D63">
        <v>25</v>
      </c>
      <c r="E63" s="1">
        <v>0.03</v>
      </c>
      <c r="F63" s="1">
        <v>0.03</v>
      </c>
      <c r="G63" s="1">
        <v>0.03</v>
      </c>
      <c r="H63" s="1">
        <v>1.15E-3</v>
      </c>
      <c r="I63" s="1">
        <v>0.17</v>
      </c>
      <c r="J63" s="1">
        <v>0.01</v>
      </c>
      <c r="K63" s="1">
        <v>2.3E-3</v>
      </c>
      <c r="L63" s="2">
        <v>0.62327499999999991</v>
      </c>
      <c r="M63" t="s">
        <v>107</v>
      </c>
      <c r="N63">
        <v>2</v>
      </c>
    </row>
    <row r="64" spans="1:14" x14ac:dyDescent="0.3">
      <c r="A64" t="s">
        <v>84</v>
      </c>
      <c r="B64">
        <v>28</v>
      </c>
      <c r="C64">
        <v>100</v>
      </c>
      <c r="D64">
        <v>25</v>
      </c>
      <c r="E64" s="1">
        <v>0.03</v>
      </c>
      <c r="F64" s="1">
        <v>0.03</v>
      </c>
      <c r="G64" s="1">
        <v>0.03</v>
      </c>
      <c r="H64" s="1">
        <v>1.1000000000000001E-3</v>
      </c>
      <c r="I64" s="1">
        <v>0.17</v>
      </c>
      <c r="J64" s="1">
        <v>0.01</v>
      </c>
      <c r="K64" s="1">
        <v>2E-3</v>
      </c>
      <c r="L64" s="2">
        <v>0.62364999999999993</v>
      </c>
      <c r="M64" t="s">
        <v>107</v>
      </c>
      <c r="N64">
        <v>2</v>
      </c>
    </row>
    <row r="65" spans="1:14" x14ac:dyDescent="0.3">
      <c r="A65" t="s">
        <v>85</v>
      </c>
      <c r="B65">
        <v>28</v>
      </c>
      <c r="C65">
        <v>110</v>
      </c>
      <c r="D65">
        <v>25</v>
      </c>
      <c r="E65" s="1">
        <v>1.8181818181818198E-2</v>
      </c>
      <c r="F65" s="1">
        <v>9.0909090909090905E-3</v>
      </c>
      <c r="G65" s="1">
        <v>7.2727272727272696E-2</v>
      </c>
      <c r="H65" s="1">
        <v>5.4545454545454602E-4</v>
      </c>
      <c r="I65" s="1">
        <v>0.145454545454545</v>
      </c>
      <c r="J65" s="1">
        <v>9.0909090909090905E-3</v>
      </c>
      <c r="K65" s="1">
        <v>1.8181818181818199E-3</v>
      </c>
      <c r="L65" s="2">
        <v>0.43672727272727235</v>
      </c>
      <c r="M65" t="s">
        <v>108</v>
      </c>
      <c r="N65">
        <v>1</v>
      </c>
    </row>
    <row r="66" spans="1:14" x14ac:dyDescent="0.3">
      <c r="A66" t="s">
        <v>16</v>
      </c>
      <c r="B66">
        <v>38</v>
      </c>
      <c r="C66">
        <v>130</v>
      </c>
      <c r="D66">
        <v>25</v>
      </c>
      <c r="E66" s="1">
        <v>2.3076923076923099E-2</v>
      </c>
      <c r="F66" s="1">
        <v>1.5384615384615399E-2</v>
      </c>
      <c r="G66" s="1">
        <v>6.15384615384615E-2</v>
      </c>
      <c r="H66" s="1">
        <v>7.6923076923076901E-4</v>
      </c>
      <c r="I66" s="1">
        <v>0.138461538461538</v>
      </c>
      <c r="J66" s="1">
        <v>1.5384615384615399E-2</v>
      </c>
      <c r="K66" s="1">
        <v>1.6153846153846201E-3</v>
      </c>
      <c r="L66" s="2">
        <v>0.47373076923076896</v>
      </c>
      <c r="M66" t="s">
        <v>108</v>
      </c>
      <c r="N66">
        <v>1</v>
      </c>
    </row>
    <row r="67" spans="1:14" x14ac:dyDescent="0.3">
      <c r="A67" t="s">
        <v>36</v>
      </c>
      <c r="B67">
        <v>35</v>
      </c>
      <c r="C67">
        <v>120</v>
      </c>
      <c r="D67">
        <v>25</v>
      </c>
      <c r="E67" s="1">
        <v>2.5000000000000001E-2</v>
      </c>
      <c r="F67" s="1">
        <v>4.1666666666666699E-2</v>
      </c>
      <c r="G67" s="1">
        <v>8.3333333333333301E-2</v>
      </c>
      <c r="H67" s="1">
        <v>1.66666666666667E-3</v>
      </c>
      <c r="I67" s="1">
        <v>0.1</v>
      </c>
      <c r="J67" s="1">
        <v>1.6666666666666701E-2</v>
      </c>
      <c r="K67" s="1">
        <v>1.33333333333333E-3</v>
      </c>
      <c r="L67" s="2">
        <v>0.45050000000000012</v>
      </c>
      <c r="M67" t="s">
        <v>108</v>
      </c>
      <c r="N67">
        <v>1</v>
      </c>
    </row>
    <row r="68" spans="1:14" x14ac:dyDescent="0.3">
      <c r="A68" t="s">
        <v>37</v>
      </c>
      <c r="B68">
        <v>38</v>
      </c>
      <c r="C68">
        <v>120</v>
      </c>
      <c r="D68">
        <v>25</v>
      </c>
      <c r="E68" s="1">
        <v>2.5000000000000001E-2</v>
      </c>
      <c r="F68" s="1">
        <v>4.1666666666666699E-2</v>
      </c>
      <c r="G68" s="1">
        <v>0.1</v>
      </c>
      <c r="H68" s="1">
        <v>1.58333333333333E-3</v>
      </c>
      <c r="I68" s="1">
        <v>0.116666666666667</v>
      </c>
      <c r="J68" s="1">
        <v>0</v>
      </c>
      <c r="K68" s="1">
        <v>2E-3</v>
      </c>
      <c r="L68" s="2">
        <v>0.44937500000000041</v>
      </c>
      <c r="M68" t="s">
        <v>108</v>
      </c>
      <c r="N68">
        <v>1</v>
      </c>
    </row>
    <row r="69" spans="1:14" x14ac:dyDescent="0.3">
      <c r="A69" t="s">
        <v>48</v>
      </c>
      <c r="B69">
        <v>37</v>
      </c>
      <c r="C69">
        <v>140</v>
      </c>
      <c r="D69">
        <v>100</v>
      </c>
      <c r="E69" s="1">
        <v>2.1428571428571401E-2</v>
      </c>
      <c r="F69" s="1">
        <v>1.4285714285714299E-2</v>
      </c>
      <c r="G69" s="1">
        <v>6.4285714285714293E-2</v>
      </c>
      <c r="H69" s="1">
        <v>6.7857142857142801E-4</v>
      </c>
      <c r="I69" s="1">
        <v>0.14285714285714299</v>
      </c>
      <c r="J69" s="1">
        <v>7.14285714285714E-3</v>
      </c>
      <c r="K69" s="1">
        <v>1.2142857142857101E-3</v>
      </c>
      <c r="L69" s="2">
        <v>1.5991964285714289</v>
      </c>
      <c r="M69" t="s">
        <v>109</v>
      </c>
      <c r="N69">
        <v>3</v>
      </c>
    </row>
    <row r="70" spans="1:14" x14ac:dyDescent="0.3">
      <c r="A70" t="s">
        <v>55</v>
      </c>
      <c r="B70">
        <v>43</v>
      </c>
      <c r="C70">
        <v>160</v>
      </c>
      <c r="D70">
        <v>25</v>
      </c>
      <c r="E70" s="1">
        <v>1.8749999999999999E-2</v>
      </c>
      <c r="F70" s="1">
        <v>1.8749999999999999E-2</v>
      </c>
      <c r="G70" s="1">
        <v>8.1250000000000003E-2</v>
      </c>
      <c r="H70" s="1">
        <v>1E-3</v>
      </c>
      <c r="I70" s="1">
        <v>0.10625</v>
      </c>
      <c r="J70" s="1">
        <v>1.2500000000000001E-2</v>
      </c>
      <c r="K70" s="1">
        <v>9.3749999999999997E-4</v>
      </c>
      <c r="L70" s="2">
        <v>0.40009375000000003</v>
      </c>
      <c r="M70" t="s">
        <v>108</v>
      </c>
      <c r="N70">
        <v>1</v>
      </c>
    </row>
    <row r="71" spans="1:14" x14ac:dyDescent="0.3">
      <c r="A71" t="s">
        <v>58</v>
      </c>
      <c r="B71">
        <v>38</v>
      </c>
      <c r="C71">
        <v>140</v>
      </c>
      <c r="D71">
        <v>25</v>
      </c>
      <c r="E71" s="1">
        <v>2.1428571428571401E-2</v>
      </c>
      <c r="F71" s="1">
        <v>2.1428571428571401E-2</v>
      </c>
      <c r="G71" s="1">
        <v>0.05</v>
      </c>
      <c r="H71" s="1">
        <v>9.2857142857142802E-4</v>
      </c>
      <c r="I71" s="1">
        <v>0.15</v>
      </c>
      <c r="J71" s="1">
        <v>1.4285714285714299E-2</v>
      </c>
      <c r="K71" s="1">
        <v>1.57142857142857E-3</v>
      </c>
      <c r="L71" s="2">
        <v>0.51689285714285693</v>
      </c>
      <c r="M71" t="s">
        <v>107</v>
      </c>
      <c r="N71">
        <v>2</v>
      </c>
    </row>
    <row r="72" spans="1:14" x14ac:dyDescent="0.3">
      <c r="A72" t="s">
        <v>60</v>
      </c>
      <c r="B72">
        <v>35</v>
      </c>
      <c r="C72">
        <v>130</v>
      </c>
      <c r="D72">
        <v>25</v>
      </c>
      <c r="E72" s="1">
        <v>2.3076923076923099E-2</v>
      </c>
      <c r="F72" s="1">
        <v>1.1538461538461499E-2</v>
      </c>
      <c r="G72" s="1">
        <v>7.69230769230769E-2</v>
      </c>
      <c r="H72" s="1">
        <v>9.2307692307692295E-4</v>
      </c>
      <c r="I72" s="1">
        <v>0.103846153846154</v>
      </c>
      <c r="J72" s="1">
        <v>1.5384615384615399E-2</v>
      </c>
      <c r="K72" s="1">
        <v>1.3076923076923101E-3</v>
      </c>
      <c r="L72" s="2">
        <v>0.40134615384615407</v>
      </c>
      <c r="M72" t="s">
        <v>108</v>
      </c>
      <c r="N72">
        <v>1</v>
      </c>
    </row>
    <row r="73" spans="1:14" x14ac:dyDescent="0.3">
      <c r="A73" t="s">
        <v>61</v>
      </c>
      <c r="B73">
        <v>38</v>
      </c>
      <c r="C73">
        <v>120</v>
      </c>
      <c r="D73">
        <v>25</v>
      </c>
      <c r="E73" s="1">
        <v>2.5000000000000001E-2</v>
      </c>
      <c r="F73" s="1">
        <v>0.05</v>
      </c>
      <c r="G73" s="1">
        <v>0.116666666666667</v>
      </c>
      <c r="H73" s="1">
        <v>2.16666666666667E-3</v>
      </c>
      <c r="I73" s="1">
        <v>9.1666666666666605E-2</v>
      </c>
      <c r="J73" s="1">
        <v>8.3333333333333297E-3</v>
      </c>
      <c r="K73" s="1">
        <v>1.66666666666667E-3</v>
      </c>
      <c r="L73" s="2">
        <v>0.40074999999999938</v>
      </c>
      <c r="M73" t="s">
        <v>108</v>
      </c>
      <c r="N73">
        <v>1</v>
      </c>
    </row>
    <row r="74" spans="1:14" x14ac:dyDescent="0.3">
      <c r="A74" t="s">
        <v>63</v>
      </c>
      <c r="B74">
        <v>14</v>
      </c>
      <c r="C74">
        <v>50</v>
      </c>
      <c r="D74">
        <v>0</v>
      </c>
      <c r="E74" s="1">
        <v>0.02</v>
      </c>
      <c r="F74" s="1">
        <v>0</v>
      </c>
      <c r="G74" s="1">
        <v>0</v>
      </c>
      <c r="H74" s="1">
        <v>2.9999999999999997E-4</v>
      </c>
      <c r="I74" s="1">
        <v>0.26</v>
      </c>
      <c r="J74" s="1">
        <v>0</v>
      </c>
      <c r="K74" s="1">
        <v>0</v>
      </c>
      <c r="L74" s="2">
        <v>0.32045000000000001</v>
      </c>
      <c r="M74" t="s">
        <v>108</v>
      </c>
      <c r="N74">
        <v>1</v>
      </c>
    </row>
    <row r="75" spans="1:14" x14ac:dyDescent="0.3">
      <c r="A75" t="s">
        <v>64</v>
      </c>
      <c r="B75">
        <v>14</v>
      </c>
      <c r="C75">
        <v>50</v>
      </c>
      <c r="D75">
        <v>0</v>
      </c>
      <c r="E75" s="1">
        <v>0.04</v>
      </c>
      <c r="F75" s="1">
        <v>0.02</v>
      </c>
      <c r="G75" s="1">
        <v>0</v>
      </c>
      <c r="H75" s="1">
        <v>1E-3</v>
      </c>
      <c r="I75" s="1">
        <v>0.2</v>
      </c>
      <c r="J75" s="1">
        <v>0</v>
      </c>
      <c r="K75" s="1">
        <v>0</v>
      </c>
      <c r="L75" s="2">
        <v>0.36150000000000004</v>
      </c>
      <c r="M75" t="s">
        <v>108</v>
      </c>
      <c r="N75">
        <v>1</v>
      </c>
    </row>
    <row r="76" spans="1:14" x14ac:dyDescent="0.3">
      <c r="A76" t="s">
        <v>67</v>
      </c>
      <c r="B76">
        <v>38</v>
      </c>
      <c r="C76">
        <v>120</v>
      </c>
      <c r="D76">
        <v>25</v>
      </c>
      <c r="E76" s="1">
        <v>2.5000000000000001E-2</v>
      </c>
      <c r="F76" s="1">
        <v>4.1666666666666699E-2</v>
      </c>
      <c r="G76" s="1">
        <v>0.1</v>
      </c>
      <c r="H76" s="1">
        <v>2E-3</v>
      </c>
      <c r="I76" s="1">
        <v>0.116666666666667</v>
      </c>
      <c r="J76" s="1">
        <v>8.3333333333333297E-3</v>
      </c>
      <c r="K76" s="1">
        <v>1.75E-3</v>
      </c>
      <c r="L76" s="2">
        <v>0.44204166666666711</v>
      </c>
      <c r="M76" t="s">
        <v>108</v>
      </c>
      <c r="N76">
        <v>1</v>
      </c>
    </row>
    <row r="77" spans="1:14" x14ac:dyDescent="0.3">
      <c r="A77" t="s">
        <v>72</v>
      </c>
      <c r="B77">
        <v>24</v>
      </c>
      <c r="C77">
        <v>80</v>
      </c>
      <c r="D77">
        <v>0</v>
      </c>
      <c r="E77" s="1">
        <v>2.5000000000000001E-2</v>
      </c>
      <c r="F77" s="1">
        <v>3.7499999999999999E-2</v>
      </c>
      <c r="G77" s="1">
        <v>0</v>
      </c>
      <c r="H77" s="1">
        <v>1.1875E-3</v>
      </c>
      <c r="I77" s="1">
        <v>0.2</v>
      </c>
      <c r="J77" s="1">
        <v>0</v>
      </c>
      <c r="K77" s="1">
        <v>0</v>
      </c>
      <c r="L77" s="2">
        <v>0.35178125000000005</v>
      </c>
      <c r="M77" t="s">
        <v>108</v>
      </c>
      <c r="N77">
        <v>1</v>
      </c>
    </row>
    <row r="78" spans="1:14" x14ac:dyDescent="0.3">
      <c r="A78" t="s">
        <v>79</v>
      </c>
      <c r="B78">
        <v>43</v>
      </c>
      <c r="C78">
        <v>140</v>
      </c>
      <c r="D78">
        <v>100</v>
      </c>
      <c r="E78" s="1">
        <v>2.1428571428571401E-2</v>
      </c>
      <c r="F78" s="1">
        <v>2.8571428571428598E-2</v>
      </c>
      <c r="G78" s="1">
        <v>0.1</v>
      </c>
      <c r="H78" s="1">
        <v>1.6428571428571399E-3</v>
      </c>
      <c r="I78" s="1">
        <v>0.107142857142857</v>
      </c>
      <c r="J78" s="1">
        <v>7.14285714285714E-3</v>
      </c>
      <c r="K78" s="1">
        <v>1.3571428571428599E-3</v>
      </c>
      <c r="L78" s="2">
        <v>1.5218571428571428</v>
      </c>
      <c r="M78" t="s">
        <v>109</v>
      </c>
      <c r="N78">
        <v>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4DDC-0232-4AC5-BD23-B6B354FF6715}">
  <sheetPr codeName="Sheet3"/>
  <dimension ref="A1:AL84"/>
  <sheetViews>
    <sheetView showGridLines="0" showRowColHeaders="0" workbookViewId="0"/>
  </sheetViews>
  <sheetFormatPr defaultRowHeight="14.4" x14ac:dyDescent="0.3"/>
  <cols>
    <col min="1" max="1" width="2.77734375" style="3" customWidth="1"/>
    <col min="2" max="2" width="34.77734375" bestFit="1" customWidth="1"/>
    <col min="3" max="3" width="26.21875" bestFit="1" customWidth="1"/>
    <col min="11" max="11" width="2.77734375" style="3" customWidth="1"/>
    <col min="12" max="12" width="26.21875" bestFit="1" customWidth="1"/>
    <col min="13" max="13" width="34.6640625" bestFit="1" customWidth="1"/>
    <col min="14" max="14" width="17.5546875" bestFit="1" customWidth="1"/>
    <col min="15" max="15" width="22.109375" bestFit="1" customWidth="1"/>
    <col min="16" max="16" width="18" bestFit="1" customWidth="1"/>
    <col min="21" max="21" width="2.77734375" style="3" customWidth="1"/>
    <col min="22" max="22" width="6.21875" customWidth="1"/>
    <col min="23" max="23" width="26.33203125" bestFit="1" customWidth="1"/>
    <col min="24" max="24" width="18.109375" bestFit="1" customWidth="1"/>
    <col min="25" max="25" width="13.21875" bestFit="1" customWidth="1"/>
    <col min="26" max="26" width="7.88671875" bestFit="1" customWidth="1"/>
    <col min="27" max="27" width="7" bestFit="1" customWidth="1"/>
    <col min="28" max="28" width="8.44140625" bestFit="1" customWidth="1"/>
    <col min="29" max="29" width="9.77734375" bestFit="1" customWidth="1"/>
    <col min="30" max="30" width="6.5546875" bestFit="1" customWidth="1"/>
    <col min="31" max="31" width="7.44140625" bestFit="1" customWidth="1"/>
    <col min="32" max="32" width="20.33203125" bestFit="1" customWidth="1"/>
    <col min="33" max="33" width="4.5546875" bestFit="1" customWidth="1"/>
    <col min="34" max="34" width="6.21875" bestFit="1" customWidth="1"/>
    <col min="35" max="35" width="6.21875" customWidth="1"/>
    <col min="36" max="36" width="2.77734375" style="3" customWidth="1"/>
    <col min="37" max="37" width="26.21875" bestFit="1" customWidth="1"/>
    <col min="38" max="38" width="34.6640625" bestFit="1" customWidth="1"/>
  </cols>
  <sheetData>
    <row r="1" spans="2:38" s="3" customFormat="1" ht="15" thickBot="1" x14ac:dyDescent="0.35"/>
    <row r="2" spans="2:38" ht="14.4" customHeight="1" x14ac:dyDescent="0.3">
      <c r="B2" s="19" t="s">
        <v>123</v>
      </c>
      <c r="C2" s="20"/>
      <c r="D2" s="20"/>
      <c r="E2" s="20"/>
      <c r="F2" s="20"/>
      <c r="G2" s="20"/>
      <c r="H2" s="20"/>
      <c r="I2" s="20"/>
      <c r="J2" s="21"/>
      <c r="L2" s="19" t="s">
        <v>121</v>
      </c>
      <c r="M2" s="20"/>
      <c r="N2" s="20"/>
      <c r="O2" s="20"/>
      <c r="P2" s="20"/>
      <c r="Q2" s="20"/>
      <c r="R2" s="20"/>
      <c r="S2" s="20"/>
      <c r="T2" s="21"/>
      <c r="V2" s="23" t="s">
        <v>120</v>
      </c>
      <c r="W2" s="23"/>
      <c r="X2" s="23"/>
      <c r="Y2" s="23"/>
      <c r="Z2" s="23"/>
      <c r="AA2" s="23"/>
      <c r="AB2" s="23"/>
      <c r="AC2" s="23"/>
      <c r="AD2" s="23"/>
      <c r="AE2" s="23"/>
      <c r="AF2" s="23"/>
      <c r="AG2" s="23"/>
      <c r="AH2" s="23"/>
      <c r="AI2" s="23"/>
    </row>
    <row r="3" spans="2:38" ht="14.4" customHeight="1" x14ac:dyDescent="0.3">
      <c r="B3" s="22"/>
      <c r="C3" s="23"/>
      <c r="D3" s="23"/>
      <c r="E3" s="23"/>
      <c r="F3" s="23"/>
      <c r="G3" s="23"/>
      <c r="H3" s="23"/>
      <c r="I3" s="23"/>
      <c r="J3" s="24"/>
      <c r="L3" s="22"/>
      <c r="M3" s="23"/>
      <c r="N3" s="23"/>
      <c r="O3" s="23"/>
      <c r="P3" s="23"/>
      <c r="Q3" s="23"/>
      <c r="R3" s="23"/>
      <c r="S3" s="23"/>
      <c r="T3" s="24"/>
      <c r="V3" s="23"/>
      <c r="W3" s="23"/>
      <c r="X3" s="23"/>
      <c r="Y3" s="23"/>
      <c r="Z3" s="23"/>
      <c r="AA3" s="23"/>
      <c r="AB3" s="23"/>
      <c r="AC3" s="23"/>
      <c r="AD3" s="23"/>
      <c r="AE3" s="23"/>
      <c r="AF3" s="23"/>
      <c r="AG3" s="23"/>
      <c r="AH3" s="23"/>
      <c r="AI3" s="23"/>
    </row>
    <row r="4" spans="2:38" ht="15" customHeight="1" thickBot="1" x14ac:dyDescent="0.35">
      <c r="B4" s="25"/>
      <c r="C4" s="26"/>
      <c r="D4" s="26"/>
      <c r="E4" s="26"/>
      <c r="F4" s="26"/>
      <c r="G4" s="26"/>
      <c r="H4" s="26"/>
      <c r="I4" s="26"/>
      <c r="J4" s="27"/>
      <c r="L4" s="25"/>
      <c r="M4" s="26"/>
      <c r="N4" s="26"/>
      <c r="O4" s="26"/>
      <c r="P4" s="26"/>
      <c r="Q4" s="26"/>
      <c r="R4" s="26"/>
      <c r="S4" s="26"/>
      <c r="T4" s="27"/>
      <c r="V4" s="23"/>
      <c r="W4" s="23"/>
      <c r="X4" s="23"/>
      <c r="Y4" s="23"/>
      <c r="Z4" s="23"/>
      <c r="AA4" s="23"/>
      <c r="AB4" s="23"/>
      <c r="AC4" s="23"/>
      <c r="AD4" s="23"/>
      <c r="AE4" s="23"/>
      <c r="AF4" s="23"/>
      <c r="AG4" s="23"/>
      <c r="AH4" s="23"/>
      <c r="AI4" s="23"/>
    </row>
    <row r="5" spans="2:38" s="3" customFormat="1" x14ac:dyDescent="0.3"/>
    <row r="7" spans="2:38" x14ac:dyDescent="0.3">
      <c r="B7" s="4" t="s">
        <v>111</v>
      </c>
      <c r="C7" t="s">
        <v>115</v>
      </c>
      <c r="L7" s="4" t="s">
        <v>111</v>
      </c>
      <c r="M7" t="s">
        <v>115</v>
      </c>
      <c r="W7" s="4" t="s">
        <v>111</v>
      </c>
      <c r="X7" t="s">
        <v>112</v>
      </c>
      <c r="Y7" t="s">
        <v>119</v>
      </c>
      <c r="Z7" t="s">
        <v>3</v>
      </c>
      <c r="AA7" t="s">
        <v>4</v>
      </c>
      <c r="AB7" t="s">
        <v>6</v>
      </c>
      <c r="AC7" t="s">
        <v>93</v>
      </c>
      <c r="AD7" t="s">
        <v>5</v>
      </c>
      <c r="AE7" t="s">
        <v>97</v>
      </c>
      <c r="AF7" t="s">
        <v>117</v>
      </c>
      <c r="AG7" t="s">
        <v>118</v>
      </c>
      <c r="AH7" t="s">
        <v>116</v>
      </c>
    </row>
    <row r="8" spans="2:38" x14ac:dyDescent="0.3">
      <c r="B8" s="5" t="s">
        <v>88</v>
      </c>
      <c r="C8">
        <v>23</v>
      </c>
      <c r="L8" s="5" t="s">
        <v>108</v>
      </c>
      <c r="M8">
        <v>43</v>
      </c>
      <c r="W8" s="5" t="s">
        <v>12</v>
      </c>
      <c r="X8" s="28">
        <v>94</v>
      </c>
      <c r="Y8" s="28">
        <v>28</v>
      </c>
      <c r="Z8" s="28">
        <v>50</v>
      </c>
      <c r="AA8" s="28">
        <v>4</v>
      </c>
      <c r="AB8" s="28">
        <v>25</v>
      </c>
      <c r="AC8" s="28">
        <v>0.33</v>
      </c>
      <c r="AD8" s="28">
        <v>0</v>
      </c>
      <c r="AE8" s="28">
        <v>0.14000000000000001</v>
      </c>
      <c r="AF8" s="28">
        <v>8</v>
      </c>
      <c r="AG8" s="28">
        <v>0</v>
      </c>
      <c r="AH8" s="28">
        <v>14</v>
      </c>
    </row>
    <row r="9" spans="2:38" x14ac:dyDescent="0.3">
      <c r="B9" s="5" t="s">
        <v>90</v>
      </c>
      <c r="C9">
        <v>22</v>
      </c>
      <c r="L9" s="5" t="s">
        <v>107</v>
      </c>
      <c r="M9">
        <v>27</v>
      </c>
      <c r="W9" s="5" t="s">
        <v>73</v>
      </c>
      <c r="X9" s="28">
        <v>74</v>
      </c>
      <c r="Y9" s="28">
        <v>28</v>
      </c>
      <c r="Z9" s="28">
        <v>90</v>
      </c>
      <c r="AA9" s="28">
        <v>3</v>
      </c>
      <c r="AB9" s="28">
        <v>0</v>
      </c>
      <c r="AC9" s="28">
        <v>0.14000000000000001</v>
      </c>
      <c r="AD9" s="28">
        <v>0</v>
      </c>
      <c r="AE9" s="28">
        <v>0</v>
      </c>
      <c r="AF9" s="28">
        <v>19</v>
      </c>
      <c r="AG9" s="28">
        <v>0</v>
      </c>
      <c r="AH9" s="28">
        <v>4</v>
      </c>
      <c r="AK9" t="s">
        <v>115</v>
      </c>
      <c r="AL9" t="s">
        <v>114</v>
      </c>
    </row>
    <row r="10" spans="2:38" x14ac:dyDescent="0.3">
      <c r="B10" s="5" t="s">
        <v>91</v>
      </c>
      <c r="C10">
        <v>9</v>
      </c>
      <c r="L10" s="5" t="s">
        <v>109</v>
      </c>
      <c r="M10">
        <v>7</v>
      </c>
      <c r="W10" s="5" t="s">
        <v>74</v>
      </c>
      <c r="X10" s="28">
        <v>73</v>
      </c>
      <c r="Y10" s="28">
        <v>28</v>
      </c>
      <c r="Z10" s="28">
        <v>90</v>
      </c>
      <c r="AA10" s="28">
        <v>3</v>
      </c>
      <c r="AB10" s="28">
        <v>0</v>
      </c>
      <c r="AC10" s="28">
        <v>0.12</v>
      </c>
      <c r="AD10" s="28">
        <v>0</v>
      </c>
      <c r="AE10" s="28">
        <v>0</v>
      </c>
      <c r="AF10" s="28">
        <v>20</v>
      </c>
      <c r="AG10" s="28">
        <v>0</v>
      </c>
      <c r="AH10" s="28">
        <v>3</v>
      </c>
      <c r="AK10" s="28">
        <v>77</v>
      </c>
      <c r="AL10" s="28">
        <v>7</v>
      </c>
    </row>
    <row r="11" spans="2:38" ht="15" thickBot="1" x14ac:dyDescent="0.35">
      <c r="B11" s="5" t="s">
        <v>87</v>
      </c>
      <c r="C11">
        <v>8</v>
      </c>
      <c r="W11" s="5" t="s">
        <v>72</v>
      </c>
      <c r="X11" s="28">
        <v>68</v>
      </c>
      <c r="Y11" s="28">
        <v>24</v>
      </c>
      <c r="Z11" s="28">
        <v>80</v>
      </c>
      <c r="AA11" s="28">
        <v>2</v>
      </c>
      <c r="AB11" s="28">
        <v>0</v>
      </c>
      <c r="AC11" s="28">
        <v>9.5000000000000001E-2</v>
      </c>
      <c r="AD11" s="28">
        <v>0</v>
      </c>
      <c r="AE11" s="28">
        <v>0</v>
      </c>
      <c r="AF11" s="28">
        <v>16</v>
      </c>
      <c r="AG11" s="28">
        <v>0</v>
      </c>
      <c r="AH11" s="28">
        <v>3</v>
      </c>
    </row>
    <row r="12" spans="2:38" x14ac:dyDescent="0.3">
      <c r="B12" s="5" t="s">
        <v>89</v>
      </c>
      <c r="C12">
        <v>8</v>
      </c>
      <c r="W12" s="5" t="s">
        <v>9</v>
      </c>
      <c r="X12" s="28">
        <v>68</v>
      </c>
      <c r="Y12" s="28">
        <v>28</v>
      </c>
      <c r="Z12" s="28">
        <v>70</v>
      </c>
      <c r="AA12" s="28">
        <v>4</v>
      </c>
      <c r="AB12" s="28">
        <v>25</v>
      </c>
      <c r="AC12" s="28">
        <v>0.28000000000000003</v>
      </c>
      <c r="AD12" s="28">
        <v>6</v>
      </c>
      <c r="AE12" s="28">
        <v>0.13</v>
      </c>
      <c r="AF12" s="28">
        <v>5</v>
      </c>
      <c r="AG12" s="28">
        <v>1</v>
      </c>
      <c r="AH12" s="28">
        <v>10</v>
      </c>
      <c r="AK12" s="9" t="str">
        <f>AK9</f>
        <v>Distinct Count of Cereal Name</v>
      </c>
      <c r="AL12" s="10" t="str">
        <f>AL9</f>
        <v>Distinct Count of Manufacturer Of Cereal</v>
      </c>
    </row>
    <row r="13" spans="2:38" ht="15" thickBot="1" x14ac:dyDescent="0.35">
      <c r="B13" s="5" t="s">
        <v>86</v>
      </c>
      <c r="C13">
        <v>6</v>
      </c>
      <c r="W13" s="5" t="s">
        <v>29</v>
      </c>
      <c r="X13" s="28">
        <v>65</v>
      </c>
      <c r="Y13" s="28">
        <v>28</v>
      </c>
      <c r="Z13" s="28">
        <v>100</v>
      </c>
      <c r="AA13" s="28">
        <v>3</v>
      </c>
      <c r="AB13" s="28">
        <v>0</v>
      </c>
      <c r="AC13" s="28">
        <v>-1E-3</v>
      </c>
      <c r="AD13" s="28">
        <v>0</v>
      </c>
      <c r="AE13" s="28">
        <v>0.08</v>
      </c>
      <c r="AF13" s="28">
        <v>21</v>
      </c>
      <c r="AG13" s="28">
        <v>0</v>
      </c>
      <c r="AH13" s="28">
        <v>1</v>
      </c>
      <c r="AK13" s="7">
        <f>AK10</f>
        <v>77</v>
      </c>
      <c r="AL13" s="8">
        <f>AL10</f>
        <v>7</v>
      </c>
    </row>
    <row r="14" spans="2:38" x14ac:dyDescent="0.3">
      <c r="B14" s="5" t="s">
        <v>92</v>
      </c>
      <c r="C14">
        <v>1</v>
      </c>
      <c r="W14" s="5" t="s">
        <v>64</v>
      </c>
      <c r="X14" s="28">
        <v>63</v>
      </c>
      <c r="Y14" s="28">
        <v>14</v>
      </c>
      <c r="Z14" s="28">
        <v>50</v>
      </c>
      <c r="AA14" s="28">
        <v>2</v>
      </c>
      <c r="AB14" s="28">
        <v>0</v>
      </c>
      <c r="AC14" s="28">
        <v>0.05</v>
      </c>
      <c r="AD14" s="28">
        <v>0</v>
      </c>
      <c r="AE14" s="28">
        <v>0</v>
      </c>
      <c r="AF14" s="28">
        <v>10</v>
      </c>
      <c r="AG14" s="28">
        <v>0</v>
      </c>
      <c r="AH14" s="28">
        <v>1</v>
      </c>
    </row>
    <row r="15" spans="2:38" x14ac:dyDescent="0.3">
      <c r="W15" s="5" t="s">
        <v>63</v>
      </c>
      <c r="X15" s="28">
        <v>61</v>
      </c>
      <c r="Y15" s="28">
        <v>14</v>
      </c>
      <c r="Z15" s="28">
        <v>50</v>
      </c>
      <c r="AA15" s="28">
        <v>1</v>
      </c>
      <c r="AB15" s="28">
        <v>0</v>
      </c>
      <c r="AC15" s="28">
        <v>1.4999999999999999E-2</v>
      </c>
      <c r="AD15" s="28">
        <v>0</v>
      </c>
      <c r="AE15" s="28">
        <v>0</v>
      </c>
      <c r="AF15" s="28">
        <v>13</v>
      </c>
      <c r="AG15" s="28">
        <v>0</v>
      </c>
      <c r="AH15" s="28">
        <v>0</v>
      </c>
    </row>
    <row r="16" spans="2:38" x14ac:dyDescent="0.3">
      <c r="W16" s="5" t="s">
        <v>59</v>
      </c>
      <c r="X16" s="28">
        <v>60</v>
      </c>
      <c r="Y16" s="28">
        <v>28</v>
      </c>
      <c r="Z16" s="28">
        <v>90</v>
      </c>
      <c r="AA16" s="28">
        <v>3</v>
      </c>
      <c r="AB16" s="28">
        <v>25</v>
      </c>
      <c r="AC16" s="28">
        <v>0.09</v>
      </c>
      <c r="AD16" s="28">
        <v>2</v>
      </c>
      <c r="AE16" s="28">
        <v>0.17</v>
      </c>
      <c r="AF16" s="28">
        <v>18</v>
      </c>
      <c r="AG16" s="28">
        <v>0</v>
      </c>
      <c r="AH16" s="28">
        <v>3</v>
      </c>
    </row>
    <row r="17" spans="2:34" x14ac:dyDescent="0.3">
      <c r="W17" s="5" t="s">
        <v>11</v>
      </c>
      <c r="X17" s="28">
        <v>59</v>
      </c>
      <c r="Y17" s="28">
        <v>28</v>
      </c>
      <c r="Z17" s="28">
        <v>70</v>
      </c>
      <c r="AA17" s="28">
        <v>4</v>
      </c>
      <c r="AB17" s="28">
        <v>25</v>
      </c>
      <c r="AC17" s="28">
        <v>0.32</v>
      </c>
      <c r="AD17" s="28">
        <v>5</v>
      </c>
      <c r="AE17" s="28">
        <v>0.26</v>
      </c>
      <c r="AF17" s="28">
        <v>7</v>
      </c>
      <c r="AG17" s="28">
        <v>1</v>
      </c>
      <c r="AH17" s="28">
        <v>9</v>
      </c>
    </row>
    <row r="18" spans="2:34" ht="15" thickBot="1" x14ac:dyDescent="0.35">
      <c r="B18" s="3"/>
      <c r="C18" s="3"/>
      <c r="D18" s="3"/>
      <c r="E18" s="3"/>
      <c r="F18" s="3"/>
      <c r="G18" s="3"/>
      <c r="H18" s="3"/>
      <c r="I18" s="3"/>
      <c r="J18" s="3"/>
      <c r="L18" s="3"/>
      <c r="M18" s="3"/>
      <c r="N18" s="3"/>
      <c r="O18" s="3"/>
      <c r="P18" s="3"/>
      <c r="Q18" s="3"/>
      <c r="R18" s="3"/>
      <c r="S18" s="3"/>
      <c r="T18" s="3"/>
      <c r="W18" s="5" t="s">
        <v>77</v>
      </c>
      <c r="X18" s="28">
        <v>59</v>
      </c>
      <c r="Y18" s="28">
        <v>28</v>
      </c>
      <c r="Z18" s="28">
        <v>90</v>
      </c>
      <c r="AA18" s="28">
        <v>2</v>
      </c>
      <c r="AB18" s="28">
        <v>25</v>
      </c>
      <c r="AC18" s="28">
        <v>0.09</v>
      </c>
      <c r="AD18" s="28">
        <v>5</v>
      </c>
      <c r="AE18" s="28">
        <v>1.4999999999999999E-2</v>
      </c>
      <c r="AF18" s="28">
        <v>15</v>
      </c>
      <c r="AG18" s="28">
        <v>0</v>
      </c>
      <c r="AH18" s="28">
        <v>3</v>
      </c>
    </row>
    <row r="19" spans="2:34" ht="14.4" customHeight="1" x14ac:dyDescent="0.3">
      <c r="B19" s="19" t="s">
        <v>124</v>
      </c>
      <c r="C19" s="20"/>
      <c r="D19" s="20"/>
      <c r="E19" s="20"/>
      <c r="F19" s="20"/>
      <c r="G19" s="20"/>
      <c r="H19" s="20"/>
      <c r="I19" s="20"/>
      <c r="J19" s="21"/>
      <c r="L19" s="19" t="s">
        <v>122</v>
      </c>
      <c r="M19" s="20"/>
      <c r="N19" s="20"/>
      <c r="O19" s="20"/>
      <c r="P19" s="20"/>
      <c r="Q19" s="20"/>
      <c r="R19" s="20"/>
      <c r="S19" s="20"/>
      <c r="T19" s="21"/>
      <c r="W19" s="5" t="s">
        <v>35</v>
      </c>
      <c r="X19" s="28">
        <v>58</v>
      </c>
      <c r="Y19" s="28">
        <v>28</v>
      </c>
      <c r="Z19" s="28">
        <v>100</v>
      </c>
      <c r="AA19" s="28">
        <v>3</v>
      </c>
      <c r="AB19" s="28">
        <v>25</v>
      </c>
      <c r="AC19" s="28">
        <v>0.1</v>
      </c>
      <c r="AD19" s="28">
        <v>7</v>
      </c>
      <c r="AE19" s="28">
        <v>0</v>
      </c>
      <c r="AF19" s="28">
        <v>14</v>
      </c>
      <c r="AG19" s="28">
        <v>0</v>
      </c>
      <c r="AH19" s="28">
        <v>3</v>
      </c>
    </row>
    <row r="20" spans="2:34" ht="14.4" customHeight="1" x14ac:dyDescent="0.3">
      <c r="B20" s="22"/>
      <c r="C20" s="23"/>
      <c r="D20" s="23"/>
      <c r="E20" s="23"/>
      <c r="F20" s="23"/>
      <c r="G20" s="23"/>
      <c r="H20" s="23"/>
      <c r="I20" s="23"/>
      <c r="J20" s="24"/>
      <c r="L20" s="22"/>
      <c r="M20" s="23"/>
      <c r="N20" s="23"/>
      <c r="O20" s="23"/>
      <c r="P20" s="23"/>
      <c r="Q20" s="23"/>
      <c r="R20" s="23"/>
      <c r="S20" s="23"/>
      <c r="T20" s="24"/>
      <c r="W20" s="5" t="s">
        <v>69</v>
      </c>
      <c r="X20" s="28">
        <v>55</v>
      </c>
      <c r="Y20" s="28">
        <v>28</v>
      </c>
      <c r="Z20" s="28">
        <v>90</v>
      </c>
      <c r="AA20" s="28">
        <v>2</v>
      </c>
      <c r="AB20" s="28">
        <v>25</v>
      </c>
      <c r="AC20" s="28">
        <v>0.11</v>
      </c>
      <c r="AD20" s="28">
        <v>6</v>
      </c>
      <c r="AE20" s="28">
        <v>0</v>
      </c>
      <c r="AF20" s="28">
        <v>15</v>
      </c>
      <c r="AG20" s="28">
        <v>0</v>
      </c>
      <c r="AH20" s="28">
        <v>2</v>
      </c>
    </row>
    <row r="21" spans="2:34" ht="14.4" customHeight="1" thickBot="1" x14ac:dyDescent="0.35">
      <c r="B21" s="25"/>
      <c r="C21" s="26"/>
      <c r="D21" s="26"/>
      <c r="E21" s="26"/>
      <c r="F21" s="26"/>
      <c r="G21" s="26"/>
      <c r="H21" s="26"/>
      <c r="I21" s="26"/>
      <c r="J21" s="27"/>
      <c r="L21" s="25"/>
      <c r="M21" s="26"/>
      <c r="N21" s="26"/>
      <c r="O21" s="26"/>
      <c r="P21" s="26"/>
      <c r="Q21" s="26"/>
      <c r="R21" s="26"/>
      <c r="S21" s="26"/>
      <c r="T21" s="27"/>
      <c r="W21" s="5" t="s">
        <v>52</v>
      </c>
      <c r="X21" s="28">
        <v>55</v>
      </c>
      <c r="Y21" s="28">
        <v>28</v>
      </c>
      <c r="Z21" s="28">
        <v>100</v>
      </c>
      <c r="AA21" s="28">
        <v>4</v>
      </c>
      <c r="AB21" s="28">
        <v>25</v>
      </c>
      <c r="AC21" s="28">
        <v>9.5000000000000001E-2</v>
      </c>
      <c r="AD21" s="28">
        <v>3</v>
      </c>
      <c r="AE21" s="28">
        <v>0</v>
      </c>
      <c r="AF21" s="28">
        <v>16</v>
      </c>
      <c r="AG21" s="28">
        <v>1</v>
      </c>
      <c r="AH21" s="28">
        <v>0</v>
      </c>
    </row>
    <row r="22" spans="2:34" x14ac:dyDescent="0.3">
      <c r="B22" s="3"/>
      <c r="C22" s="3"/>
      <c r="D22" s="3"/>
      <c r="E22" s="3"/>
      <c r="F22" s="3"/>
      <c r="G22" s="3"/>
      <c r="H22" s="3"/>
      <c r="I22" s="3"/>
      <c r="J22" s="3"/>
      <c r="L22" s="3"/>
      <c r="M22" s="3"/>
      <c r="N22" s="3"/>
      <c r="O22" s="3"/>
      <c r="P22" s="3"/>
      <c r="Q22" s="3"/>
      <c r="R22" s="3"/>
      <c r="S22" s="3"/>
      <c r="T22" s="3"/>
      <c r="W22" s="5" t="s">
        <v>42</v>
      </c>
      <c r="X22" s="28">
        <v>53</v>
      </c>
      <c r="Y22" s="28">
        <v>28</v>
      </c>
      <c r="Z22" s="28">
        <v>110</v>
      </c>
      <c r="AA22" s="28">
        <v>3</v>
      </c>
      <c r="AB22" s="28">
        <v>25</v>
      </c>
      <c r="AC22" s="28">
        <v>0.09</v>
      </c>
      <c r="AD22" s="28">
        <v>3</v>
      </c>
      <c r="AE22" s="28">
        <v>0.17</v>
      </c>
      <c r="AF22" s="28">
        <v>17</v>
      </c>
      <c r="AG22" s="28">
        <v>0</v>
      </c>
      <c r="AH22" s="28">
        <v>3</v>
      </c>
    </row>
    <row r="23" spans="2:34" x14ac:dyDescent="0.3">
      <c r="W23" s="5" t="s">
        <v>76</v>
      </c>
      <c r="X23" s="28">
        <v>53</v>
      </c>
      <c r="Y23" s="28">
        <v>28</v>
      </c>
      <c r="Z23" s="28">
        <v>110</v>
      </c>
      <c r="AA23" s="28">
        <v>6</v>
      </c>
      <c r="AB23" s="28">
        <v>25</v>
      </c>
      <c r="AC23" s="28">
        <v>5.5E-2</v>
      </c>
      <c r="AD23" s="28">
        <v>3</v>
      </c>
      <c r="AE23" s="28">
        <v>0.23</v>
      </c>
      <c r="AF23" s="28">
        <v>16</v>
      </c>
      <c r="AG23" s="28">
        <v>0</v>
      </c>
      <c r="AH23" s="28">
        <v>1</v>
      </c>
    </row>
    <row r="24" spans="2:34" x14ac:dyDescent="0.3">
      <c r="W24" s="5" t="s">
        <v>18</v>
      </c>
      <c r="X24" s="28">
        <v>53</v>
      </c>
      <c r="Y24" s="28">
        <v>28</v>
      </c>
      <c r="Z24" s="28">
        <v>90</v>
      </c>
      <c r="AA24" s="28">
        <v>3</v>
      </c>
      <c r="AB24" s="28">
        <v>25</v>
      </c>
      <c r="AC24" s="28">
        <v>0.19</v>
      </c>
      <c r="AD24" s="28">
        <v>5</v>
      </c>
      <c r="AE24" s="28">
        <v>0.21</v>
      </c>
      <c r="AF24" s="28">
        <v>13</v>
      </c>
      <c r="AG24" s="28">
        <v>0</v>
      </c>
      <c r="AH24" s="28">
        <v>5</v>
      </c>
    </row>
    <row r="25" spans="2:34" x14ac:dyDescent="0.3">
      <c r="B25" s="4" t="s">
        <v>111</v>
      </c>
      <c r="C25" t="s">
        <v>112</v>
      </c>
      <c r="D25" t="s">
        <v>125</v>
      </c>
      <c r="L25" s="4" t="s">
        <v>111</v>
      </c>
      <c r="M25" t="s">
        <v>115</v>
      </c>
      <c r="W25" s="5" t="s">
        <v>41</v>
      </c>
      <c r="X25" s="28">
        <v>52</v>
      </c>
      <c r="Y25" s="28">
        <v>28</v>
      </c>
      <c r="Z25" s="28">
        <v>100</v>
      </c>
      <c r="AA25" s="28">
        <v>3</v>
      </c>
      <c r="AB25" s="28">
        <v>25</v>
      </c>
      <c r="AC25" s="28">
        <v>8.5000000000000006E-2</v>
      </c>
      <c r="AD25" s="28">
        <v>5</v>
      </c>
      <c r="AE25" s="28">
        <v>0.14000000000000001</v>
      </c>
      <c r="AF25" s="28">
        <v>15</v>
      </c>
      <c r="AG25" s="28">
        <v>1</v>
      </c>
      <c r="AH25" s="28">
        <v>3</v>
      </c>
    </row>
    <row r="26" spans="2:34" x14ac:dyDescent="0.3">
      <c r="B26" s="5" t="s">
        <v>108</v>
      </c>
      <c r="L26" s="5" t="s">
        <v>95</v>
      </c>
      <c r="M26">
        <v>74</v>
      </c>
      <c r="W26" s="5" t="s">
        <v>84</v>
      </c>
      <c r="X26" s="28">
        <v>52</v>
      </c>
      <c r="Y26" s="28">
        <v>28</v>
      </c>
      <c r="Z26" s="28">
        <v>100</v>
      </c>
      <c r="AA26" s="28">
        <v>3</v>
      </c>
      <c r="AB26" s="28">
        <v>25</v>
      </c>
      <c r="AC26" s="28">
        <v>0.11</v>
      </c>
      <c r="AD26" s="28">
        <v>3</v>
      </c>
      <c r="AE26" s="28">
        <v>0.2</v>
      </c>
      <c r="AF26" s="28">
        <v>17</v>
      </c>
      <c r="AG26" s="28">
        <v>1</v>
      </c>
      <c r="AH26" s="28">
        <v>3</v>
      </c>
    </row>
    <row r="27" spans="2:34" x14ac:dyDescent="0.3">
      <c r="B27" s="6" t="s">
        <v>22</v>
      </c>
      <c r="C27">
        <v>40</v>
      </c>
      <c r="D27" s="12">
        <v>100</v>
      </c>
      <c r="L27" s="5" t="s">
        <v>96</v>
      </c>
      <c r="M27">
        <v>3</v>
      </c>
      <c r="W27" s="5" t="s">
        <v>66</v>
      </c>
      <c r="X27" s="28">
        <v>51</v>
      </c>
      <c r="Y27" s="28">
        <v>28</v>
      </c>
      <c r="Z27" s="28">
        <v>100</v>
      </c>
      <c r="AA27" s="28">
        <v>5</v>
      </c>
      <c r="AB27" s="28">
        <v>0</v>
      </c>
      <c r="AC27" s="28">
        <v>0.11</v>
      </c>
      <c r="AD27" s="28">
        <v>-1</v>
      </c>
      <c r="AE27" s="28">
        <v>0</v>
      </c>
      <c r="AF27" s="28">
        <v>-1</v>
      </c>
      <c r="AG27" s="28">
        <v>2</v>
      </c>
      <c r="AH27" s="28">
        <v>2.7</v>
      </c>
    </row>
    <row r="28" spans="2:34" x14ac:dyDescent="0.3">
      <c r="B28" s="6" t="s">
        <v>29</v>
      </c>
      <c r="C28">
        <v>65</v>
      </c>
      <c r="D28" s="12">
        <v>100</v>
      </c>
      <c r="W28" s="5" t="s">
        <v>20</v>
      </c>
      <c r="X28" s="28">
        <v>51</v>
      </c>
      <c r="Y28" s="28">
        <v>28</v>
      </c>
      <c r="Z28" s="28">
        <v>110</v>
      </c>
      <c r="AA28" s="28">
        <v>6</v>
      </c>
      <c r="AB28" s="28">
        <v>25</v>
      </c>
      <c r="AC28" s="28">
        <v>0.105</v>
      </c>
      <c r="AD28" s="28">
        <v>1</v>
      </c>
      <c r="AE28" s="28">
        <v>0.28999999999999998</v>
      </c>
      <c r="AF28" s="28">
        <v>17</v>
      </c>
      <c r="AG28" s="28">
        <v>2</v>
      </c>
      <c r="AH28" s="28">
        <v>2</v>
      </c>
    </row>
    <row r="29" spans="2:34" x14ac:dyDescent="0.3">
      <c r="B29" s="6" t="s">
        <v>36</v>
      </c>
      <c r="C29">
        <v>41</v>
      </c>
      <c r="D29" s="12">
        <v>100</v>
      </c>
      <c r="W29" s="5" t="s">
        <v>65</v>
      </c>
      <c r="X29" s="28">
        <v>50</v>
      </c>
      <c r="Y29" s="28">
        <v>28</v>
      </c>
      <c r="Z29" s="28">
        <v>100</v>
      </c>
      <c r="AA29" s="28">
        <v>4</v>
      </c>
      <c r="AB29" s="28">
        <v>25</v>
      </c>
      <c r="AC29" s="28">
        <v>0.11</v>
      </c>
      <c r="AD29" s="28">
        <v>6</v>
      </c>
      <c r="AE29" s="28">
        <v>0.13500000000000001</v>
      </c>
      <c r="AF29" s="28">
        <v>14</v>
      </c>
      <c r="AG29" s="28">
        <v>1</v>
      </c>
      <c r="AH29" s="28">
        <v>2</v>
      </c>
    </row>
    <row r="30" spans="2:34" x14ac:dyDescent="0.3">
      <c r="B30" s="6" t="s">
        <v>37</v>
      </c>
      <c r="C30">
        <v>41</v>
      </c>
      <c r="D30" s="12">
        <v>100</v>
      </c>
      <c r="W30" s="5" t="s">
        <v>83</v>
      </c>
      <c r="X30" s="28">
        <v>50</v>
      </c>
      <c r="Y30" s="28">
        <v>28</v>
      </c>
      <c r="Z30" s="28">
        <v>100</v>
      </c>
      <c r="AA30" s="28">
        <v>3</v>
      </c>
      <c r="AB30" s="28">
        <v>25</v>
      </c>
      <c r="AC30" s="28">
        <v>0.115</v>
      </c>
      <c r="AD30" s="28">
        <v>3</v>
      </c>
      <c r="AE30" s="28">
        <v>0.23</v>
      </c>
      <c r="AF30" s="28">
        <v>17</v>
      </c>
      <c r="AG30" s="28">
        <v>1</v>
      </c>
      <c r="AH30" s="28">
        <v>3</v>
      </c>
    </row>
    <row r="31" spans="2:34" x14ac:dyDescent="0.3">
      <c r="B31" s="6" t="s">
        <v>63</v>
      </c>
      <c r="C31">
        <v>61</v>
      </c>
      <c r="D31" s="12">
        <v>100</v>
      </c>
      <c r="W31" s="5" t="s">
        <v>17</v>
      </c>
      <c r="X31" s="28">
        <v>49</v>
      </c>
      <c r="Y31" s="28">
        <v>28</v>
      </c>
      <c r="Z31" s="28">
        <v>90</v>
      </c>
      <c r="AA31" s="28">
        <v>2</v>
      </c>
      <c r="AB31" s="28">
        <v>25</v>
      </c>
      <c r="AC31" s="28">
        <v>0.125</v>
      </c>
      <c r="AD31" s="28">
        <v>6</v>
      </c>
      <c r="AE31" s="28">
        <v>0.2</v>
      </c>
      <c r="AF31" s="28">
        <v>15</v>
      </c>
      <c r="AG31" s="28">
        <v>1</v>
      </c>
      <c r="AH31" s="28">
        <v>4</v>
      </c>
    </row>
    <row r="32" spans="2:34" ht="15" thickBot="1" x14ac:dyDescent="0.35">
      <c r="B32" s="6" t="s">
        <v>64</v>
      </c>
      <c r="C32">
        <v>63</v>
      </c>
      <c r="D32" s="12">
        <v>100</v>
      </c>
      <c r="L32" s="3"/>
      <c r="M32" s="3"/>
      <c r="N32" s="3"/>
      <c r="O32" s="3"/>
      <c r="P32" s="3"/>
      <c r="Q32" s="3"/>
      <c r="R32" s="3"/>
      <c r="S32" s="3"/>
      <c r="T32" s="3"/>
      <c r="W32" s="5" t="s">
        <v>30</v>
      </c>
      <c r="X32" s="28">
        <v>47</v>
      </c>
      <c r="Y32" s="28">
        <v>28</v>
      </c>
      <c r="Z32" s="28">
        <v>110</v>
      </c>
      <c r="AA32" s="28">
        <v>2</v>
      </c>
      <c r="AB32" s="28">
        <v>25</v>
      </c>
      <c r="AC32" s="28">
        <v>0.03</v>
      </c>
      <c r="AD32" s="28">
        <v>3</v>
      </c>
      <c r="AE32" s="28">
        <v>0.22</v>
      </c>
      <c r="AF32" s="28">
        <v>21</v>
      </c>
      <c r="AG32" s="28">
        <v>0</v>
      </c>
      <c r="AH32" s="28">
        <v>1</v>
      </c>
    </row>
    <row r="33" spans="2:34" x14ac:dyDescent="0.3">
      <c r="B33" s="6" t="s">
        <v>66</v>
      </c>
      <c r="C33">
        <v>51</v>
      </c>
      <c r="D33" s="12">
        <v>100</v>
      </c>
      <c r="L33" s="19" t="s">
        <v>113</v>
      </c>
      <c r="M33" s="20"/>
      <c r="N33" s="20"/>
      <c r="O33" s="20"/>
      <c r="P33" s="20"/>
      <c r="Q33" s="20"/>
      <c r="R33" s="20"/>
      <c r="S33" s="20"/>
      <c r="T33" s="21"/>
      <c r="W33" s="5" t="s">
        <v>80</v>
      </c>
      <c r="X33" s="28">
        <v>47</v>
      </c>
      <c r="Y33" s="28">
        <v>28</v>
      </c>
      <c r="Z33" s="28">
        <v>100</v>
      </c>
      <c r="AA33" s="28">
        <v>3</v>
      </c>
      <c r="AB33" s="28">
        <v>100</v>
      </c>
      <c r="AC33" s="28">
        <v>0.11</v>
      </c>
      <c r="AD33" s="28">
        <v>3</v>
      </c>
      <c r="AE33" s="28">
        <v>0.2</v>
      </c>
      <c r="AF33" s="28">
        <v>16</v>
      </c>
      <c r="AG33" s="28">
        <v>1</v>
      </c>
      <c r="AH33" s="28">
        <v>3</v>
      </c>
    </row>
    <row r="34" spans="2:34" x14ac:dyDescent="0.3">
      <c r="B34" s="6" t="s">
        <v>72</v>
      </c>
      <c r="C34">
        <v>68</v>
      </c>
      <c r="D34" s="12">
        <v>100</v>
      </c>
      <c r="L34" s="22"/>
      <c r="M34" s="23"/>
      <c r="N34" s="23"/>
      <c r="O34" s="23"/>
      <c r="P34" s="23"/>
      <c r="Q34" s="23"/>
      <c r="R34" s="23"/>
      <c r="S34" s="23"/>
      <c r="T34" s="24"/>
      <c r="W34" s="5" t="s">
        <v>43</v>
      </c>
      <c r="X34" s="28">
        <v>46</v>
      </c>
      <c r="Y34" s="28">
        <v>28</v>
      </c>
      <c r="Z34" s="28">
        <v>120</v>
      </c>
      <c r="AA34" s="28">
        <v>3</v>
      </c>
      <c r="AB34" s="28">
        <v>25</v>
      </c>
      <c r="AC34" s="28">
        <v>0.1</v>
      </c>
      <c r="AD34" s="28">
        <v>4</v>
      </c>
      <c r="AE34" s="28">
        <v>7.4999999999999997E-2</v>
      </c>
      <c r="AF34" s="28">
        <v>13</v>
      </c>
      <c r="AG34" s="28">
        <v>3</v>
      </c>
      <c r="AH34" s="28">
        <v>3</v>
      </c>
    </row>
    <row r="35" spans="2:34" ht="15" thickBot="1" x14ac:dyDescent="0.35">
      <c r="B35" s="6" t="s">
        <v>73</v>
      </c>
      <c r="C35">
        <v>74</v>
      </c>
      <c r="D35" s="12">
        <v>100</v>
      </c>
      <c r="L35" s="25"/>
      <c r="M35" s="26"/>
      <c r="N35" s="26"/>
      <c r="O35" s="26"/>
      <c r="P35" s="26"/>
      <c r="Q35" s="26"/>
      <c r="R35" s="26"/>
      <c r="S35" s="26"/>
      <c r="T35" s="27"/>
      <c r="W35" s="5" t="s">
        <v>25</v>
      </c>
      <c r="X35" s="28">
        <v>46</v>
      </c>
      <c r="Y35" s="28">
        <v>28</v>
      </c>
      <c r="Z35" s="28">
        <v>100</v>
      </c>
      <c r="AA35" s="28">
        <v>2</v>
      </c>
      <c r="AB35" s="28">
        <v>25</v>
      </c>
      <c r="AC35" s="28">
        <v>3.5000000000000003E-2</v>
      </c>
      <c r="AD35" s="28">
        <v>2</v>
      </c>
      <c r="AE35" s="28">
        <v>0.28999999999999998</v>
      </c>
      <c r="AF35" s="28">
        <v>21</v>
      </c>
      <c r="AG35" s="28">
        <v>0</v>
      </c>
      <c r="AH35" s="28">
        <v>1</v>
      </c>
    </row>
    <row r="36" spans="2:34" x14ac:dyDescent="0.3">
      <c r="B36" s="6" t="s">
        <v>74</v>
      </c>
      <c r="C36">
        <v>73</v>
      </c>
      <c r="D36" s="12">
        <v>100</v>
      </c>
      <c r="L36" s="3"/>
      <c r="M36" s="3"/>
      <c r="N36" s="3"/>
      <c r="O36" s="3"/>
      <c r="P36" s="3"/>
      <c r="Q36" s="3"/>
      <c r="R36" s="3"/>
      <c r="S36" s="3"/>
      <c r="T36" s="3"/>
      <c r="W36" s="5" t="s">
        <v>50</v>
      </c>
      <c r="X36" s="28">
        <v>45</v>
      </c>
      <c r="Y36" s="28">
        <v>28</v>
      </c>
      <c r="Z36" s="28">
        <v>100</v>
      </c>
      <c r="AA36" s="28">
        <v>4</v>
      </c>
      <c r="AB36" s="28">
        <v>25</v>
      </c>
      <c r="AC36" s="28">
        <v>9.5000000000000001E-2</v>
      </c>
      <c r="AD36" s="28">
        <v>6</v>
      </c>
      <c r="AE36" s="28">
        <v>0.15</v>
      </c>
      <c r="AF36" s="28">
        <v>12</v>
      </c>
      <c r="AG36" s="28">
        <v>2</v>
      </c>
      <c r="AH36" s="28">
        <v>2</v>
      </c>
    </row>
    <row r="37" spans="2:34" x14ac:dyDescent="0.3">
      <c r="B37" s="5" t="s">
        <v>107</v>
      </c>
      <c r="W37" s="5" t="s">
        <v>32</v>
      </c>
      <c r="X37" s="28">
        <v>44</v>
      </c>
      <c r="Y37" s="28">
        <v>28</v>
      </c>
      <c r="Z37" s="28">
        <v>100</v>
      </c>
      <c r="AA37" s="28">
        <v>2</v>
      </c>
      <c r="AB37" s="28">
        <v>25</v>
      </c>
      <c r="AC37" s="28">
        <v>0.08</v>
      </c>
      <c r="AD37" s="28">
        <v>5</v>
      </c>
      <c r="AE37" s="28">
        <v>0.19</v>
      </c>
      <c r="AF37" s="28">
        <v>18</v>
      </c>
      <c r="AG37" s="28">
        <v>0</v>
      </c>
      <c r="AH37" s="28">
        <v>1</v>
      </c>
    </row>
    <row r="38" spans="2:34" x14ac:dyDescent="0.3">
      <c r="B38" s="6" t="s">
        <v>9</v>
      </c>
      <c r="C38">
        <v>68</v>
      </c>
      <c r="D38" s="12">
        <v>100</v>
      </c>
      <c r="W38" s="5" t="s">
        <v>70</v>
      </c>
      <c r="X38" s="28">
        <v>42</v>
      </c>
      <c r="Y38" s="28">
        <v>28</v>
      </c>
      <c r="Z38" s="28">
        <v>110</v>
      </c>
      <c r="AA38" s="28">
        <v>1</v>
      </c>
      <c r="AB38" s="28">
        <v>25</v>
      </c>
      <c r="AC38" s="28">
        <v>0.03</v>
      </c>
      <c r="AD38" s="28">
        <v>2</v>
      </c>
      <c r="AE38" s="28">
        <v>0.24</v>
      </c>
      <c r="AF38" s="28">
        <v>23</v>
      </c>
      <c r="AG38" s="28">
        <v>0</v>
      </c>
      <c r="AH38" s="28">
        <v>0</v>
      </c>
    </row>
    <row r="39" spans="2:34" x14ac:dyDescent="0.3">
      <c r="B39" s="6" t="s">
        <v>11</v>
      </c>
      <c r="C39">
        <v>59</v>
      </c>
      <c r="D39" s="12">
        <v>100</v>
      </c>
      <c r="L39" t="s">
        <v>115</v>
      </c>
      <c r="M39" t="s">
        <v>114</v>
      </c>
      <c r="W39" s="5" t="s">
        <v>62</v>
      </c>
      <c r="X39" s="28">
        <v>42</v>
      </c>
      <c r="Y39" s="28">
        <v>28</v>
      </c>
      <c r="Z39" s="28">
        <v>100</v>
      </c>
      <c r="AA39" s="28">
        <v>3</v>
      </c>
      <c r="AB39" s="28">
        <v>100</v>
      </c>
      <c r="AC39" s="28">
        <v>4.4999999999999998E-2</v>
      </c>
      <c r="AD39" s="28">
        <v>3</v>
      </c>
      <c r="AE39" s="28">
        <v>0.32</v>
      </c>
      <c r="AF39" s="28">
        <v>20</v>
      </c>
      <c r="AG39" s="28">
        <v>0</v>
      </c>
      <c r="AH39" s="28">
        <v>1</v>
      </c>
    </row>
    <row r="40" spans="2:34" x14ac:dyDescent="0.3">
      <c r="B40" s="6" t="s">
        <v>18</v>
      </c>
      <c r="C40">
        <v>53</v>
      </c>
      <c r="D40" s="12">
        <v>100</v>
      </c>
      <c r="L40">
        <v>77</v>
      </c>
      <c r="M40">
        <v>7</v>
      </c>
      <c r="W40" s="5" t="s">
        <v>58</v>
      </c>
      <c r="X40" s="28">
        <v>41</v>
      </c>
      <c r="Y40" s="28">
        <v>38</v>
      </c>
      <c r="Z40" s="28">
        <v>140</v>
      </c>
      <c r="AA40" s="28">
        <v>3</v>
      </c>
      <c r="AB40" s="28">
        <v>25</v>
      </c>
      <c r="AC40" s="28">
        <v>0.13</v>
      </c>
      <c r="AD40" s="28">
        <v>7</v>
      </c>
      <c r="AE40" s="28">
        <v>0.22</v>
      </c>
      <c r="AF40" s="28">
        <v>21</v>
      </c>
      <c r="AG40" s="28">
        <v>2</v>
      </c>
      <c r="AH40" s="28">
        <v>3</v>
      </c>
    </row>
    <row r="41" spans="2:34" ht="15" thickBot="1" x14ac:dyDescent="0.35">
      <c r="B41" s="6" t="s">
        <v>35</v>
      </c>
      <c r="C41">
        <v>58</v>
      </c>
      <c r="D41" s="12">
        <v>100</v>
      </c>
      <c r="W41" s="5" t="s">
        <v>24</v>
      </c>
      <c r="X41" s="28">
        <v>41</v>
      </c>
      <c r="Y41" s="28">
        <v>28</v>
      </c>
      <c r="Z41" s="28">
        <v>110</v>
      </c>
      <c r="AA41" s="28">
        <v>2</v>
      </c>
      <c r="AB41" s="28">
        <v>25</v>
      </c>
      <c r="AC41" s="28">
        <v>2.5000000000000001E-2</v>
      </c>
      <c r="AD41" s="28">
        <v>3</v>
      </c>
      <c r="AE41" s="28">
        <v>0.28000000000000003</v>
      </c>
      <c r="AF41" s="28">
        <v>22</v>
      </c>
      <c r="AG41" s="28">
        <v>0</v>
      </c>
      <c r="AH41" s="28">
        <v>0</v>
      </c>
    </row>
    <row r="42" spans="2:34" x14ac:dyDescent="0.3">
      <c r="B42" s="6" t="s">
        <v>42</v>
      </c>
      <c r="C42">
        <v>53</v>
      </c>
      <c r="D42" s="12">
        <v>100</v>
      </c>
      <c r="L42" s="9" t="str">
        <f>L39</f>
        <v>Distinct Count of Cereal Name</v>
      </c>
      <c r="M42" s="10" t="str">
        <f>M39</f>
        <v>Distinct Count of Manufacturer Of Cereal</v>
      </c>
      <c r="N42" s="10" t="str">
        <f>L26</f>
        <v>Cold</v>
      </c>
      <c r="O42" s="10" t="str">
        <f>L27</f>
        <v>Hot</v>
      </c>
      <c r="W42" s="5" t="s">
        <v>36</v>
      </c>
      <c r="X42" s="28">
        <v>41</v>
      </c>
      <c r="Y42" s="28">
        <v>35</v>
      </c>
      <c r="Z42" s="28">
        <v>120</v>
      </c>
      <c r="AA42" s="28">
        <v>3</v>
      </c>
      <c r="AB42" s="28">
        <v>25</v>
      </c>
      <c r="AC42" s="28">
        <v>0.2</v>
      </c>
      <c r="AD42" s="28">
        <v>10</v>
      </c>
      <c r="AE42" s="28">
        <v>0.16</v>
      </c>
      <c r="AF42" s="28">
        <v>12</v>
      </c>
      <c r="AG42" s="28">
        <v>2</v>
      </c>
      <c r="AH42" s="28">
        <v>5</v>
      </c>
    </row>
    <row r="43" spans="2:34" ht="15" thickBot="1" x14ac:dyDescent="0.35">
      <c r="B43" s="6" t="s">
        <v>52</v>
      </c>
      <c r="C43">
        <v>55</v>
      </c>
      <c r="D43" s="12">
        <v>100</v>
      </c>
      <c r="L43" s="7">
        <f>L40</f>
        <v>77</v>
      </c>
      <c r="M43" s="8">
        <f>M40</f>
        <v>7</v>
      </c>
      <c r="N43" s="8">
        <f>GETPIVOTDATA("[Measures].[Distinct Count of Cereal Name]",$L$25,"[80 CEREALS].[Type]","[80 CEREALS].[Type].&amp;[Cold]")</f>
        <v>74</v>
      </c>
      <c r="O43" s="8">
        <f>GETPIVOTDATA("[Measures].[Distinct Count of Cereal Name]",$L$25,"[80 CEREALS].[Type]","[80 CEREALS].[Type].&amp;[Hot]")</f>
        <v>3</v>
      </c>
      <c r="W43" s="5" t="s">
        <v>71</v>
      </c>
      <c r="X43" s="28">
        <v>41</v>
      </c>
      <c r="Y43" s="28">
        <v>28</v>
      </c>
      <c r="Z43" s="28">
        <v>110</v>
      </c>
      <c r="AA43" s="28">
        <v>2</v>
      </c>
      <c r="AB43" s="28">
        <v>25</v>
      </c>
      <c r="AC43" s="28">
        <v>3.5000000000000003E-2</v>
      </c>
      <c r="AD43" s="28">
        <v>3</v>
      </c>
      <c r="AE43" s="28">
        <v>0.28999999999999998</v>
      </c>
      <c r="AF43" s="28">
        <v>22</v>
      </c>
      <c r="AG43" s="28">
        <v>0</v>
      </c>
      <c r="AH43" s="28">
        <v>0</v>
      </c>
    </row>
    <row r="44" spans="2:34" x14ac:dyDescent="0.3">
      <c r="B44" s="6" t="s">
        <v>59</v>
      </c>
      <c r="C44">
        <v>60</v>
      </c>
      <c r="D44" s="12">
        <v>100</v>
      </c>
      <c r="W44" s="5" t="s">
        <v>37</v>
      </c>
      <c r="X44" s="28">
        <v>41</v>
      </c>
      <c r="Y44" s="28">
        <v>38</v>
      </c>
      <c r="Z44" s="28">
        <v>120</v>
      </c>
      <c r="AA44" s="28">
        <v>3</v>
      </c>
      <c r="AB44" s="28">
        <v>25</v>
      </c>
      <c r="AC44" s="28">
        <v>0.19</v>
      </c>
      <c r="AD44" s="28">
        <v>12</v>
      </c>
      <c r="AE44" s="28">
        <v>0.24</v>
      </c>
      <c r="AF44" s="28">
        <v>14</v>
      </c>
      <c r="AG44" s="28">
        <v>0</v>
      </c>
      <c r="AH44" s="28">
        <v>5</v>
      </c>
    </row>
    <row r="45" spans="2:34" x14ac:dyDescent="0.3">
      <c r="B45" s="6" t="s">
        <v>69</v>
      </c>
      <c r="C45">
        <v>55</v>
      </c>
      <c r="D45" s="12">
        <v>100</v>
      </c>
      <c r="W45" s="5" t="s">
        <v>56</v>
      </c>
      <c r="X45" s="28">
        <v>40</v>
      </c>
      <c r="Y45" s="28">
        <v>28</v>
      </c>
      <c r="Z45" s="28">
        <v>100</v>
      </c>
      <c r="AA45" s="28">
        <v>2</v>
      </c>
      <c r="AB45" s="28">
        <v>25</v>
      </c>
      <c r="AC45" s="28">
        <v>0.09</v>
      </c>
      <c r="AD45" s="28">
        <v>6</v>
      </c>
      <c r="AE45" s="28">
        <v>0.22</v>
      </c>
      <c r="AF45" s="28">
        <v>15</v>
      </c>
      <c r="AG45" s="28">
        <v>1</v>
      </c>
      <c r="AH45" s="28">
        <v>2</v>
      </c>
    </row>
    <row r="46" spans="2:34" x14ac:dyDescent="0.3">
      <c r="B46" s="6" t="s">
        <v>76</v>
      </c>
      <c r="C46">
        <v>53</v>
      </c>
      <c r="D46" s="12">
        <v>100</v>
      </c>
      <c r="W46" s="5" t="s">
        <v>68</v>
      </c>
      <c r="X46" s="28">
        <v>40</v>
      </c>
      <c r="Y46" s="28">
        <v>28</v>
      </c>
      <c r="Z46" s="28">
        <v>100</v>
      </c>
      <c r="AA46" s="28">
        <v>3</v>
      </c>
      <c r="AB46" s="28">
        <v>25</v>
      </c>
      <c r="AC46" s="28">
        <v>0.14000000000000001</v>
      </c>
      <c r="AD46" s="28">
        <v>8</v>
      </c>
      <c r="AE46" s="28">
        <v>0.14000000000000001</v>
      </c>
      <c r="AF46" s="28">
        <v>10.5</v>
      </c>
      <c r="AG46" s="28">
        <v>2</v>
      </c>
      <c r="AH46" s="28">
        <v>2.5</v>
      </c>
    </row>
    <row r="47" spans="2:34" x14ac:dyDescent="0.3">
      <c r="B47" s="6" t="s">
        <v>77</v>
      </c>
      <c r="C47">
        <v>59</v>
      </c>
      <c r="D47" s="12">
        <v>100</v>
      </c>
      <c r="W47" s="5" t="s">
        <v>28</v>
      </c>
      <c r="X47" s="28">
        <v>40</v>
      </c>
      <c r="Y47" s="28">
        <v>28</v>
      </c>
      <c r="Z47" s="28">
        <v>110</v>
      </c>
      <c r="AA47" s="28">
        <v>3</v>
      </c>
      <c r="AB47" s="28">
        <v>25</v>
      </c>
      <c r="AC47" s="28">
        <v>0.16</v>
      </c>
      <c r="AD47" s="28">
        <v>7</v>
      </c>
      <c r="AE47" s="28">
        <v>0.14000000000000001</v>
      </c>
      <c r="AF47" s="28">
        <v>10</v>
      </c>
      <c r="AG47" s="28">
        <v>3</v>
      </c>
      <c r="AH47" s="28">
        <v>4</v>
      </c>
    </row>
    <row r="48" spans="2:34" x14ac:dyDescent="0.3">
      <c r="B48" s="5" t="s">
        <v>109</v>
      </c>
      <c r="W48" s="5" t="s">
        <v>22</v>
      </c>
      <c r="X48" s="28">
        <v>40</v>
      </c>
      <c r="Y48" s="28">
        <v>28</v>
      </c>
      <c r="Z48" s="28">
        <v>110</v>
      </c>
      <c r="AA48" s="28">
        <v>3</v>
      </c>
      <c r="AB48" s="28">
        <v>25</v>
      </c>
      <c r="AC48" s="28">
        <v>0.105</v>
      </c>
      <c r="AD48" s="28">
        <v>7</v>
      </c>
      <c r="AE48" s="28">
        <v>0.14000000000000001</v>
      </c>
      <c r="AF48" s="28">
        <v>13</v>
      </c>
      <c r="AG48" s="28">
        <v>2</v>
      </c>
      <c r="AH48" s="28">
        <v>2</v>
      </c>
    </row>
    <row r="49" spans="2:34" x14ac:dyDescent="0.3">
      <c r="B49" s="6" t="s">
        <v>12</v>
      </c>
      <c r="C49">
        <v>94</v>
      </c>
      <c r="D49" s="12">
        <v>100</v>
      </c>
      <c r="W49" s="5" t="s">
        <v>81</v>
      </c>
      <c r="X49" s="28">
        <v>39</v>
      </c>
      <c r="Y49" s="28">
        <v>28</v>
      </c>
      <c r="Z49" s="28">
        <v>110</v>
      </c>
      <c r="AA49" s="28">
        <v>2</v>
      </c>
      <c r="AB49" s="28">
        <v>25</v>
      </c>
      <c r="AC49" s="28">
        <v>0.06</v>
      </c>
      <c r="AD49" s="28">
        <v>3</v>
      </c>
      <c r="AE49" s="28">
        <v>0.25</v>
      </c>
      <c r="AF49" s="28">
        <v>21</v>
      </c>
      <c r="AG49" s="28">
        <v>1</v>
      </c>
      <c r="AH49" s="28">
        <v>0</v>
      </c>
    </row>
    <row r="50" spans="2:34" x14ac:dyDescent="0.3">
      <c r="B50" s="6" t="s">
        <v>47</v>
      </c>
      <c r="C50">
        <v>37</v>
      </c>
      <c r="D50" s="12">
        <v>100</v>
      </c>
      <c r="W50" s="5" t="s">
        <v>67</v>
      </c>
      <c r="X50" s="28">
        <v>39</v>
      </c>
      <c r="Y50" s="28">
        <v>38</v>
      </c>
      <c r="Z50" s="28">
        <v>120</v>
      </c>
      <c r="AA50" s="28">
        <v>3</v>
      </c>
      <c r="AB50" s="28">
        <v>25</v>
      </c>
      <c r="AC50" s="28">
        <v>0.24</v>
      </c>
      <c r="AD50" s="28">
        <v>12</v>
      </c>
      <c r="AE50" s="28">
        <v>0.21</v>
      </c>
      <c r="AF50" s="28">
        <v>14</v>
      </c>
      <c r="AG50" s="28">
        <v>1</v>
      </c>
      <c r="AH50" s="28">
        <v>5</v>
      </c>
    </row>
    <row r="51" spans="2:34" x14ac:dyDescent="0.3">
      <c r="B51" s="6" t="s">
        <v>62</v>
      </c>
      <c r="C51">
        <v>42</v>
      </c>
      <c r="D51" s="12">
        <v>100</v>
      </c>
      <c r="W51" s="5" t="s">
        <v>49</v>
      </c>
      <c r="X51" s="28">
        <v>39</v>
      </c>
      <c r="Y51" s="28">
        <v>28</v>
      </c>
      <c r="Z51" s="28">
        <v>110</v>
      </c>
      <c r="AA51" s="28">
        <v>2</v>
      </c>
      <c r="AB51" s="28">
        <v>25</v>
      </c>
      <c r="AC51" s="28">
        <v>0.04</v>
      </c>
      <c r="AD51" s="28">
        <v>3</v>
      </c>
      <c r="AE51" s="28">
        <v>0.26</v>
      </c>
      <c r="AF51" s="28">
        <v>21</v>
      </c>
      <c r="AG51" s="28">
        <v>1</v>
      </c>
      <c r="AH51" s="28">
        <v>0</v>
      </c>
    </row>
    <row r="52" spans="2:34" x14ac:dyDescent="0.3">
      <c r="B52" s="6" t="s">
        <v>79</v>
      </c>
      <c r="C52">
        <v>29</v>
      </c>
      <c r="D52" s="12">
        <v>100</v>
      </c>
      <c r="W52" s="5" t="s">
        <v>78</v>
      </c>
      <c r="X52" s="28">
        <v>39</v>
      </c>
      <c r="Y52" s="28">
        <v>28</v>
      </c>
      <c r="Z52" s="28">
        <v>110</v>
      </c>
      <c r="AA52" s="28">
        <v>2</v>
      </c>
      <c r="AB52" s="28">
        <v>100</v>
      </c>
      <c r="AC52" s="28">
        <v>3.5000000000000003E-2</v>
      </c>
      <c r="AD52" s="28">
        <v>3</v>
      </c>
      <c r="AE52" s="28">
        <v>0.2</v>
      </c>
      <c r="AF52" s="28">
        <v>21</v>
      </c>
      <c r="AG52" s="28">
        <v>1</v>
      </c>
      <c r="AH52" s="28">
        <v>0</v>
      </c>
    </row>
    <row r="53" spans="2:34" x14ac:dyDescent="0.3">
      <c r="B53" s="6" t="s">
        <v>80</v>
      </c>
      <c r="C53">
        <v>47</v>
      </c>
      <c r="D53" s="12">
        <v>100</v>
      </c>
      <c r="W53" s="5" t="s">
        <v>61</v>
      </c>
      <c r="X53" s="28">
        <v>38</v>
      </c>
      <c r="Y53" s="28">
        <v>38</v>
      </c>
      <c r="Z53" s="28">
        <v>120</v>
      </c>
      <c r="AA53" s="28">
        <v>3</v>
      </c>
      <c r="AB53" s="28">
        <v>25</v>
      </c>
      <c r="AC53" s="28">
        <v>0.26</v>
      </c>
      <c r="AD53" s="28">
        <v>14</v>
      </c>
      <c r="AE53" s="28">
        <v>0.2</v>
      </c>
      <c r="AF53" s="28">
        <v>11</v>
      </c>
      <c r="AG53" s="28">
        <v>1</v>
      </c>
      <c r="AH53" s="28">
        <v>6</v>
      </c>
    </row>
    <row r="54" spans="2:34" x14ac:dyDescent="0.3">
      <c r="B54" s="6" t="s">
        <v>48</v>
      </c>
      <c r="C54">
        <v>36</v>
      </c>
      <c r="D54" s="12">
        <v>100</v>
      </c>
      <c r="W54" s="5" t="s">
        <v>16</v>
      </c>
      <c r="X54" s="28">
        <v>37</v>
      </c>
      <c r="Y54" s="28">
        <v>38</v>
      </c>
      <c r="Z54" s="28">
        <v>130</v>
      </c>
      <c r="AA54" s="28">
        <v>3</v>
      </c>
      <c r="AB54" s="28">
        <v>25</v>
      </c>
      <c r="AC54" s="28">
        <v>0.1</v>
      </c>
      <c r="AD54" s="28">
        <v>8</v>
      </c>
      <c r="AE54" s="28">
        <v>0.21</v>
      </c>
      <c r="AF54" s="28">
        <v>18</v>
      </c>
      <c r="AG54" s="28">
        <v>2</v>
      </c>
      <c r="AH54" s="28">
        <v>2</v>
      </c>
    </row>
    <row r="55" spans="2:34" x14ac:dyDescent="0.3">
      <c r="B55" s="6" t="s">
        <v>78</v>
      </c>
      <c r="C55">
        <v>39</v>
      </c>
      <c r="D55" s="12">
        <v>100</v>
      </c>
      <c r="W55" s="5" t="s">
        <v>53</v>
      </c>
      <c r="X55" s="28">
        <v>37</v>
      </c>
      <c r="Y55" s="28">
        <v>28</v>
      </c>
      <c r="Z55" s="28">
        <v>150</v>
      </c>
      <c r="AA55" s="28">
        <v>4</v>
      </c>
      <c r="AB55" s="28">
        <v>25</v>
      </c>
      <c r="AC55" s="28">
        <v>0.17</v>
      </c>
      <c r="AD55" s="28">
        <v>11</v>
      </c>
      <c r="AE55" s="28">
        <v>9.5000000000000001E-2</v>
      </c>
      <c r="AF55" s="28">
        <v>16</v>
      </c>
      <c r="AG55" s="28">
        <v>3</v>
      </c>
      <c r="AH55" s="28">
        <v>3</v>
      </c>
    </row>
    <row r="56" spans="2:34" x14ac:dyDescent="0.3">
      <c r="W56" s="5" t="s">
        <v>47</v>
      </c>
      <c r="X56" s="28">
        <v>37</v>
      </c>
      <c r="Y56" s="28">
        <v>28</v>
      </c>
      <c r="Z56" s="28">
        <v>110</v>
      </c>
      <c r="AA56" s="28">
        <v>2</v>
      </c>
      <c r="AB56" s="28">
        <v>100</v>
      </c>
      <c r="AC56" s="28">
        <v>0.06</v>
      </c>
      <c r="AD56" s="28">
        <v>6</v>
      </c>
      <c r="AE56" s="28">
        <v>0.17</v>
      </c>
      <c r="AF56" s="28">
        <v>17</v>
      </c>
      <c r="AG56" s="28">
        <v>1</v>
      </c>
      <c r="AH56" s="28">
        <v>1</v>
      </c>
    </row>
    <row r="57" spans="2:34" x14ac:dyDescent="0.3">
      <c r="W57" s="5" t="s">
        <v>31</v>
      </c>
      <c r="X57" s="28">
        <v>36</v>
      </c>
      <c r="Y57" s="28">
        <v>28</v>
      </c>
      <c r="Z57" s="28">
        <v>100</v>
      </c>
      <c r="AA57" s="28">
        <v>2</v>
      </c>
      <c r="AB57" s="28">
        <v>25</v>
      </c>
      <c r="AC57" s="28">
        <v>0.12</v>
      </c>
      <c r="AD57" s="28">
        <v>10</v>
      </c>
      <c r="AE57" s="28">
        <v>0.14000000000000001</v>
      </c>
      <c r="AF57" s="28">
        <v>11</v>
      </c>
      <c r="AG57" s="28">
        <v>1</v>
      </c>
      <c r="AH57" s="28">
        <v>2</v>
      </c>
    </row>
    <row r="58" spans="2:34" x14ac:dyDescent="0.3">
      <c r="W58" s="5" t="s">
        <v>48</v>
      </c>
      <c r="X58" s="28">
        <v>36</v>
      </c>
      <c r="Y58" s="28">
        <v>37</v>
      </c>
      <c r="Z58" s="28">
        <v>140</v>
      </c>
      <c r="AA58" s="28">
        <v>3</v>
      </c>
      <c r="AB58" s="28">
        <v>100</v>
      </c>
      <c r="AC58" s="28">
        <v>9.5000000000000001E-2</v>
      </c>
      <c r="AD58" s="28">
        <v>9</v>
      </c>
      <c r="AE58" s="28">
        <v>0.17</v>
      </c>
      <c r="AF58" s="28">
        <v>20</v>
      </c>
      <c r="AG58" s="28">
        <v>1</v>
      </c>
      <c r="AH58" s="28">
        <v>2</v>
      </c>
    </row>
    <row r="59" spans="2:34" x14ac:dyDescent="0.3">
      <c r="W59" s="5" t="s">
        <v>85</v>
      </c>
      <c r="X59" s="28">
        <v>36</v>
      </c>
      <c r="Y59" s="28">
        <v>28</v>
      </c>
      <c r="Z59" s="28">
        <v>110</v>
      </c>
      <c r="AA59" s="28">
        <v>2</v>
      </c>
      <c r="AB59" s="28">
        <v>25</v>
      </c>
      <c r="AC59" s="28">
        <v>0.06</v>
      </c>
      <c r="AD59" s="28">
        <v>8</v>
      </c>
      <c r="AE59" s="28">
        <v>0.2</v>
      </c>
      <c r="AF59" s="28">
        <v>16</v>
      </c>
      <c r="AG59" s="28">
        <v>1</v>
      </c>
      <c r="AH59" s="28">
        <v>1</v>
      </c>
    </row>
    <row r="60" spans="2:34" x14ac:dyDescent="0.3">
      <c r="W60" s="5" t="s">
        <v>26</v>
      </c>
      <c r="X60" s="28">
        <v>36</v>
      </c>
      <c r="Y60" s="28">
        <v>28</v>
      </c>
      <c r="Z60" s="28">
        <v>110</v>
      </c>
      <c r="AA60" s="28">
        <v>1</v>
      </c>
      <c r="AB60" s="28">
        <v>25</v>
      </c>
      <c r="AC60" s="28">
        <v>0.02</v>
      </c>
      <c r="AD60" s="28">
        <v>12</v>
      </c>
      <c r="AE60" s="28">
        <v>0.09</v>
      </c>
      <c r="AF60" s="28">
        <v>13</v>
      </c>
      <c r="AG60" s="28">
        <v>0</v>
      </c>
      <c r="AH60" s="28">
        <v>1</v>
      </c>
    </row>
    <row r="61" spans="2:34" x14ac:dyDescent="0.3">
      <c r="W61" s="5" t="s">
        <v>39</v>
      </c>
      <c r="X61" s="28">
        <v>35</v>
      </c>
      <c r="Y61" s="28">
        <v>28</v>
      </c>
      <c r="Z61" s="28">
        <v>100</v>
      </c>
      <c r="AA61" s="28">
        <v>2</v>
      </c>
      <c r="AB61" s="28">
        <v>25</v>
      </c>
      <c r="AC61" s="28">
        <v>0.04</v>
      </c>
      <c r="AD61" s="28">
        <v>15</v>
      </c>
      <c r="AE61" s="28">
        <v>4.4999999999999998E-2</v>
      </c>
      <c r="AF61" s="28">
        <v>11</v>
      </c>
      <c r="AG61" s="28">
        <v>0</v>
      </c>
      <c r="AH61" s="28">
        <v>0</v>
      </c>
    </row>
    <row r="62" spans="2:34" x14ac:dyDescent="0.3">
      <c r="W62" s="5" t="s">
        <v>10</v>
      </c>
      <c r="X62" s="28">
        <v>34</v>
      </c>
      <c r="Y62" s="28">
        <v>28</v>
      </c>
      <c r="Z62" s="28">
        <v>120</v>
      </c>
      <c r="AA62" s="28">
        <v>3</v>
      </c>
      <c r="AB62" s="28">
        <v>0</v>
      </c>
      <c r="AC62" s="28">
        <v>0.13500000000000001</v>
      </c>
      <c r="AD62" s="28">
        <v>8</v>
      </c>
      <c r="AE62" s="28">
        <v>1.4999999999999999E-2</v>
      </c>
      <c r="AF62" s="28">
        <v>8</v>
      </c>
      <c r="AG62" s="28">
        <v>5</v>
      </c>
      <c r="AH62" s="28">
        <v>2</v>
      </c>
    </row>
    <row r="63" spans="2:34" x14ac:dyDescent="0.3">
      <c r="W63" s="5" t="s">
        <v>54</v>
      </c>
      <c r="X63" s="28">
        <v>34</v>
      </c>
      <c r="Y63" s="28">
        <v>28</v>
      </c>
      <c r="Z63" s="28">
        <v>150</v>
      </c>
      <c r="AA63" s="28">
        <v>4</v>
      </c>
      <c r="AB63" s="28">
        <v>25</v>
      </c>
      <c r="AC63" s="28">
        <v>0.17</v>
      </c>
      <c r="AD63" s="28">
        <v>11</v>
      </c>
      <c r="AE63" s="28">
        <v>0.15</v>
      </c>
      <c r="AF63" s="28">
        <v>16</v>
      </c>
      <c r="AG63" s="28">
        <v>3</v>
      </c>
      <c r="AH63" s="28">
        <v>3</v>
      </c>
    </row>
    <row r="64" spans="2:34" x14ac:dyDescent="0.3">
      <c r="W64" s="5" t="s">
        <v>13</v>
      </c>
      <c r="X64" s="28">
        <v>34</v>
      </c>
      <c r="Y64" s="28">
        <v>28</v>
      </c>
      <c r="Z64" s="28">
        <v>110</v>
      </c>
      <c r="AA64" s="28">
        <v>2</v>
      </c>
      <c r="AB64" s="28">
        <v>25</v>
      </c>
      <c r="AC64" s="28">
        <v>-1E-3</v>
      </c>
      <c r="AD64" s="28">
        <v>8</v>
      </c>
      <c r="AE64" s="28">
        <v>0.2</v>
      </c>
      <c r="AF64" s="28">
        <v>14</v>
      </c>
      <c r="AG64" s="28">
        <v>2</v>
      </c>
      <c r="AH64" s="28">
        <v>1</v>
      </c>
    </row>
    <row r="65" spans="23:34" x14ac:dyDescent="0.3">
      <c r="W65" s="5" t="s">
        <v>15</v>
      </c>
      <c r="X65" s="28">
        <v>33</v>
      </c>
      <c r="Y65" s="28">
        <v>28</v>
      </c>
      <c r="Z65" s="28">
        <v>110</v>
      </c>
      <c r="AA65" s="28">
        <v>2</v>
      </c>
      <c r="AB65" s="28">
        <v>25</v>
      </c>
      <c r="AC65" s="28">
        <v>0.03</v>
      </c>
      <c r="AD65" s="28">
        <v>14</v>
      </c>
      <c r="AE65" s="28">
        <v>0.125</v>
      </c>
      <c r="AF65" s="28">
        <v>11</v>
      </c>
      <c r="AG65" s="28">
        <v>0</v>
      </c>
      <c r="AH65" s="28">
        <v>1</v>
      </c>
    </row>
    <row r="66" spans="23:34" x14ac:dyDescent="0.3">
      <c r="W66" s="5" t="s">
        <v>33</v>
      </c>
      <c r="X66" s="28">
        <v>32</v>
      </c>
      <c r="Y66" s="28">
        <v>28</v>
      </c>
      <c r="Z66" s="28">
        <v>110</v>
      </c>
      <c r="AA66" s="28">
        <v>2</v>
      </c>
      <c r="AB66" s="28">
        <v>25</v>
      </c>
      <c r="AC66" s="28">
        <v>0.03</v>
      </c>
      <c r="AD66" s="28">
        <v>13</v>
      </c>
      <c r="AE66" s="28">
        <v>0.125</v>
      </c>
      <c r="AF66" s="28">
        <v>11</v>
      </c>
      <c r="AG66" s="28">
        <v>1</v>
      </c>
      <c r="AH66" s="28">
        <v>1</v>
      </c>
    </row>
    <row r="67" spans="23:34" x14ac:dyDescent="0.3">
      <c r="W67" s="5" t="s">
        <v>34</v>
      </c>
      <c r="X67" s="28">
        <v>31</v>
      </c>
      <c r="Y67" s="28">
        <v>28</v>
      </c>
      <c r="Z67" s="28">
        <v>110</v>
      </c>
      <c r="AA67" s="28">
        <v>1</v>
      </c>
      <c r="AB67" s="28">
        <v>25</v>
      </c>
      <c r="AC67" s="28">
        <v>2.5000000000000001E-2</v>
      </c>
      <c r="AD67" s="28">
        <v>11</v>
      </c>
      <c r="AE67" s="28">
        <v>0.2</v>
      </c>
      <c r="AF67" s="28">
        <v>14</v>
      </c>
      <c r="AG67" s="28">
        <v>0</v>
      </c>
      <c r="AH67" s="28">
        <v>1</v>
      </c>
    </row>
    <row r="68" spans="23:34" x14ac:dyDescent="0.3">
      <c r="W68" s="5" t="s">
        <v>45</v>
      </c>
      <c r="X68" s="28">
        <v>31</v>
      </c>
      <c r="Y68" s="28">
        <v>28</v>
      </c>
      <c r="Z68" s="28">
        <v>110</v>
      </c>
      <c r="AA68" s="28">
        <v>3</v>
      </c>
      <c r="AB68" s="28">
        <v>25</v>
      </c>
      <c r="AC68" s="28">
        <v>0.09</v>
      </c>
      <c r="AD68" s="28">
        <v>10</v>
      </c>
      <c r="AE68" s="28">
        <v>0.25</v>
      </c>
      <c r="AF68" s="28">
        <v>11.5</v>
      </c>
      <c r="AG68" s="28">
        <v>1</v>
      </c>
      <c r="AH68" s="28">
        <v>1.5</v>
      </c>
    </row>
    <row r="69" spans="23:34" x14ac:dyDescent="0.3">
      <c r="W69" s="5" t="s">
        <v>75</v>
      </c>
      <c r="X69" s="28">
        <v>31</v>
      </c>
      <c r="Y69" s="28">
        <v>28</v>
      </c>
      <c r="Z69" s="28">
        <v>110</v>
      </c>
      <c r="AA69" s="28">
        <v>2</v>
      </c>
      <c r="AB69" s="28">
        <v>25</v>
      </c>
      <c r="AC69" s="28">
        <v>0.04</v>
      </c>
      <c r="AD69" s="28">
        <v>15</v>
      </c>
      <c r="AE69" s="28">
        <v>7.0000000000000007E-2</v>
      </c>
      <c r="AF69" s="28">
        <v>9</v>
      </c>
      <c r="AG69" s="28">
        <v>1</v>
      </c>
      <c r="AH69" s="28">
        <v>1</v>
      </c>
    </row>
    <row r="70" spans="23:34" x14ac:dyDescent="0.3">
      <c r="W70" s="5" t="s">
        <v>60</v>
      </c>
      <c r="X70" s="28">
        <v>30</v>
      </c>
      <c r="Y70" s="28">
        <v>35</v>
      </c>
      <c r="Z70" s="28">
        <v>130</v>
      </c>
      <c r="AA70" s="28">
        <v>3</v>
      </c>
      <c r="AB70" s="28">
        <v>25</v>
      </c>
      <c r="AC70" s="28">
        <v>0.12</v>
      </c>
      <c r="AD70" s="28">
        <v>10</v>
      </c>
      <c r="AE70" s="28">
        <v>0.17</v>
      </c>
      <c r="AF70" s="28">
        <v>13.5</v>
      </c>
      <c r="AG70" s="28">
        <v>2</v>
      </c>
      <c r="AH70" s="28">
        <v>1.5</v>
      </c>
    </row>
    <row r="71" spans="23:34" x14ac:dyDescent="0.3">
      <c r="W71" s="5" t="s">
        <v>55</v>
      </c>
      <c r="X71" s="28">
        <v>30</v>
      </c>
      <c r="Y71" s="28">
        <v>43</v>
      </c>
      <c r="Z71" s="28">
        <v>160</v>
      </c>
      <c r="AA71" s="28">
        <v>3</v>
      </c>
      <c r="AB71" s="28">
        <v>25</v>
      </c>
      <c r="AC71" s="28">
        <v>0.16</v>
      </c>
      <c r="AD71" s="28">
        <v>13</v>
      </c>
      <c r="AE71" s="28">
        <v>0.15</v>
      </c>
      <c r="AF71" s="28">
        <v>17</v>
      </c>
      <c r="AG71" s="28">
        <v>2</v>
      </c>
      <c r="AH71" s="28">
        <v>3</v>
      </c>
    </row>
    <row r="72" spans="23:34" x14ac:dyDescent="0.3">
      <c r="W72" s="5" t="s">
        <v>14</v>
      </c>
      <c r="X72" s="28">
        <v>30</v>
      </c>
      <c r="Y72" s="28">
        <v>28</v>
      </c>
      <c r="Z72" s="28">
        <v>110</v>
      </c>
      <c r="AA72" s="28">
        <v>2</v>
      </c>
      <c r="AB72" s="28">
        <v>25</v>
      </c>
      <c r="AC72" s="28">
        <v>7.0000000000000007E-2</v>
      </c>
      <c r="AD72" s="28">
        <v>10</v>
      </c>
      <c r="AE72" s="28">
        <v>0.18</v>
      </c>
      <c r="AF72" s="28">
        <v>10.5</v>
      </c>
      <c r="AG72" s="28">
        <v>2</v>
      </c>
      <c r="AH72" s="28">
        <v>1.5</v>
      </c>
    </row>
    <row r="73" spans="23:34" x14ac:dyDescent="0.3">
      <c r="W73" s="5" t="s">
        <v>57</v>
      </c>
      <c r="X73" s="28">
        <v>30</v>
      </c>
      <c r="Y73" s="28">
        <v>28</v>
      </c>
      <c r="Z73" s="28">
        <v>120</v>
      </c>
      <c r="AA73" s="28">
        <v>2</v>
      </c>
      <c r="AB73" s="28">
        <v>25</v>
      </c>
      <c r="AC73" s="28">
        <v>0.04</v>
      </c>
      <c r="AD73" s="28">
        <v>9</v>
      </c>
      <c r="AE73" s="28">
        <v>0.19</v>
      </c>
      <c r="AF73" s="28">
        <v>15</v>
      </c>
      <c r="AG73" s="28">
        <v>1</v>
      </c>
      <c r="AH73" s="28">
        <v>0</v>
      </c>
    </row>
    <row r="74" spans="23:34" x14ac:dyDescent="0.3">
      <c r="W74" s="5" t="s">
        <v>46</v>
      </c>
      <c r="X74" s="28">
        <v>29</v>
      </c>
      <c r="Y74" s="28">
        <v>28</v>
      </c>
      <c r="Z74" s="28">
        <v>110</v>
      </c>
      <c r="AA74" s="28">
        <v>1</v>
      </c>
      <c r="AB74" s="28">
        <v>25</v>
      </c>
      <c r="AC74" s="28">
        <v>3.5000000000000003E-2</v>
      </c>
      <c r="AD74" s="28">
        <v>11</v>
      </c>
      <c r="AE74" s="28">
        <v>0.18</v>
      </c>
      <c r="AF74" s="28">
        <v>14</v>
      </c>
      <c r="AG74" s="28">
        <v>0</v>
      </c>
      <c r="AH74" s="28">
        <v>0</v>
      </c>
    </row>
    <row r="75" spans="23:34" x14ac:dyDescent="0.3">
      <c r="W75" s="5" t="s">
        <v>79</v>
      </c>
      <c r="X75" s="28">
        <v>29</v>
      </c>
      <c r="Y75" s="28">
        <v>43</v>
      </c>
      <c r="Z75" s="28">
        <v>140</v>
      </c>
      <c r="AA75" s="28">
        <v>3</v>
      </c>
      <c r="AB75" s="28">
        <v>100</v>
      </c>
      <c r="AC75" s="28">
        <v>0.23</v>
      </c>
      <c r="AD75" s="28">
        <v>14</v>
      </c>
      <c r="AE75" s="28">
        <v>0.19</v>
      </c>
      <c r="AF75" s="28">
        <v>15</v>
      </c>
      <c r="AG75" s="28">
        <v>1</v>
      </c>
      <c r="AH75" s="28">
        <v>4</v>
      </c>
    </row>
    <row r="76" spans="23:34" x14ac:dyDescent="0.3">
      <c r="W76" s="5" t="s">
        <v>38</v>
      </c>
      <c r="X76" s="28">
        <v>28</v>
      </c>
      <c r="Y76" s="28">
        <v>28</v>
      </c>
      <c r="Z76" s="28">
        <v>110</v>
      </c>
      <c r="AA76" s="28">
        <v>1</v>
      </c>
      <c r="AB76" s="28">
        <v>25</v>
      </c>
      <c r="AC76" s="28">
        <v>2.5000000000000001E-2</v>
      </c>
      <c r="AD76" s="28">
        <v>12</v>
      </c>
      <c r="AE76" s="28">
        <v>0.13500000000000001</v>
      </c>
      <c r="AF76" s="28">
        <v>13</v>
      </c>
      <c r="AG76" s="28">
        <v>1</v>
      </c>
      <c r="AH76" s="28">
        <v>0</v>
      </c>
    </row>
    <row r="77" spans="23:34" x14ac:dyDescent="0.3">
      <c r="W77" s="5" t="s">
        <v>82</v>
      </c>
      <c r="X77" s="28">
        <v>28</v>
      </c>
      <c r="Y77" s="28">
        <v>28</v>
      </c>
      <c r="Z77" s="28">
        <v>110</v>
      </c>
      <c r="AA77" s="28">
        <v>1</v>
      </c>
      <c r="AB77" s="28">
        <v>25</v>
      </c>
      <c r="AC77" s="28">
        <v>2.5000000000000001E-2</v>
      </c>
      <c r="AD77" s="28">
        <v>12</v>
      </c>
      <c r="AE77" s="28">
        <v>0.14000000000000001</v>
      </c>
      <c r="AF77" s="28">
        <v>13</v>
      </c>
      <c r="AG77" s="28">
        <v>1</v>
      </c>
      <c r="AH77" s="28">
        <v>0</v>
      </c>
    </row>
    <row r="78" spans="23:34" x14ac:dyDescent="0.3">
      <c r="W78" s="5" t="s">
        <v>51</v>
      </c>
      <c r="X78" s="28">
        <v>27</v>
      </c>
      <c r="Y78" s="28">
        <v>28</v>
      </c>
      <c r="Z78" s="28">
        <v>110</v>
      </c>
      <c r="AA78" s="28">
        <v>2</v>
      </c>
      <c r="AB78" s="28">
        <v>25</v>
      </c>
      <c r="AC78" s="28">
        <v>5.5E-2</v>
      </c>
      <c r="AD78" s="28">
        <v>12</v>
      </c>
      <c r="AE78" s="28">
        <v>0.18</v>
      </c>
      <c r="AF78" s="28">
        <v>12</v>
      </c>
      <c r="AG78" s="28">
        <v>1</v>
      </c>
      <c r="AH78" s="28">
        <v>0</v>
      </c>
    </row>
    <row r="79" spans="23:34" x14ac:dyDescent="0.3">
      <c r="W79" s="5" t="s">
        <v>40</v>
      </c>
      <c r="X79" s="28">
        <v>24</v>
      </c>
      <c r="Y79" s="28">
        <v>28</v>
      </c>
      <c r="Z79" s="28">
        <v>110</v>
      </c>
      <c r="AA79" s="28">
        <v>1</v>
      </c>
      <c r="AB79" s="28">
        <v>25</v>
      </c>
      <c r="AC79" s="28">
        <v>4.4999999999999998E-2</v>
      </c>
      <c r="AD79" s="28">
        <v>9</v>
      </c>
      <c r="AE79" s="28">
        <v>0.28000000000000003</v>
      </c>
      <c r="AF79" s="28">
        <v>15</v>
      </c>
      <c r="AG79" s="28">
        <v>1</v>
      </c>
      <c r="AH79" s="28">
        <v>0</v>
      </c>
    </row>
    <row r="80" spans="23:34" x14ac:dyDescent="0.3">
      <c r="W80" s="5" t="s">
        <v>23</v>
      </c>
      <c r="X80" s="28">
        <v>23</v>
      </c>
      <c r="Y80" s="28">
        <v>28</v>
      </c>
      <c r="Z80" s="28">
        <v>110</v>
      </c>
      <c r="AA80" s="28">
        <v>1</v>
      </c>
      <c r="AB80" s="28">
        <v>25</v>
      </c>
      <c r="AC80" s="28">
        <v>5.5E-2</v>
      </c>
      <c r="AD80" s="28">
        <v>13</v>
      </c>
      <c r="AE80" s="28">
        <v>0.18</v>
      </c>
      <c r="AF80" s="28">
        <v>12</v>
      </c>
      <c r="AG80" s="28">
        <v>1</v>
      </c>
      <c r="AH80" s="28">
        <v>0</v>
      </c>
    </row>
    <row r="81" spans="23:34" x14ac:dyDescent="0.3">
      <c r="W81" s="5" t="s">
        <v>27</v>
      </c>
      <c r="X81" s="28">
        <v>22</v>
      </c>
      <c r="Y81" s="28">
        <v>28</v>
      </c>
      <c r="Z81" s="28">
        <v>110</v>
      </c>
      <c r="AA81" s="28">
        <v>1</v>
      </c>
      <c r="AB81" s="28">
        <v>25</v>
      </c>
      <c r="AC81" s="28">
        <v>6.5000000000000002E-2</v>
      </c>
      <c r="AD81" s="28">
        <v>13</v>
      </c>
      <c r="AE81" s="28">
        <v>0.18</v>
      </c>
      <c r="AF81" s="28">
        <v>12</v>
      </c>
      <c r="AG81" s="28">
        <v>1</v>
      </c>
      <c r="AH81" s="28">
        <v>0</v>
      </c>
    </row>
    <row r="82" spans="23:34" x14ac:dyDescent="0.3">
      <c r="W82" s="5" t="s">
        <v>44</v>
      </c>
      <c r="X82" s="28">
        <v>22</v>
      </c>
      <c r="Y82" s="28">
        <v>28</v>
      </c>
      <c r="Z82" s="28">
        <v>120</v>
      </c>
      <c r="AA82" s="28">
        <v>1</v>
      </c>
      <c r="AB82" s="28">
        <v>25</v>
      </c>
      <c r="AC82" s="28">
        <v>4.4999999999999998E-2</v>
      </c>
      <c r="AD82" s="28">
        <v>11</v>
      </c>
      <c r="AE82" s="28">
        <v>0.22</v>
      </c>
      <c r="AF82" s="28">
        <v>12</v>
      </c>
      <c r="AG82" s="28">
        <v>2</v>
      </c>
      <c r="AH82" s="28">
        <v>1</v>
      </c>
    </row>
    <row r="83" spans="23:34" x14ac:dyDescent="0.3">
      <c r="W83" s="5" t="s">
        <v>21</v>
      </c>
      <c r="X83" s="28">
        <v>20</v>
      </c>
      <c r="Y83" s="28">
        <v>28</v>
      </c>
      <c r="Z83" s="28">
        <v>120</v>
      </c>
      <c r="AA83" s="28">
        <v>1</v>
      </c>
      <c r="AB83" s="28">
        <v>25</v>
      </c>
      <c r="AC83" s="28">
        <v>4.4999999999999998E-2</v>
      </c>
      <c r="AD83" s="28">
        <v>9</v>
      </c>
      <c r="AE83" s="28">
        <v>0.21</v>
      </c>
      <c r="AF83" s="28">
        <v>13</v>
      </c>
      <c r="AG83" s="28">
        <v>3</v>
      </c>
      <c r="AH83" s="28">
        <v>0</v>
      </c>
    </row>
    <row r="84" spans="23:34" x14ac:dyDescent="0.3">
      <c r="W84" s="5" t="s">
        <v>19</v>
      </c>
      <c r="X84" s="28">
        <v>18</v>
      </c>
      <c r="Y84" s="28">
        <v>28</v>
      </c>
      <c r="Z84" s="28">
        <v>120</v>
      </c>
      <c r="AA84" s="28">
        <v>1</v>
      </c>
      <c r="AB84" s="28">
        <v>25</v>
      </c>
      <c r="AC84" s="28">
        <v>3.5000000000000003E-2</v>
      </c>
      <c r="AD84" s="28">
        <v>12</v>
      </c>
      <c r="AE84" s="28">
        <v>0.22</v>
      </c>
      <c r="AF84" s="28">
        <v>12</v>
      </c>
      <c r="AG84" s="28">
        <v>2</v>
      </c>
      <c r="AH84" s="28">
        <v>0</v>
      </c>
    </row>
  </sheetData>
  <mergeCells count="6">
    <mergeCell ref="L33:T35"/>
    <mergeCell ref="V2:AI4"/>
    <mergeCell ref="B2:J4"/>
    <mergeCell ref="L2:T4"/>
    <mergeCell ref="B19:J21"/>
    <mergeCell ref="L19:T21"/>
  </mergeCells>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7E2EC-6D3D-49F7-A549-F8AEFDF46A36}">
  <sheetPr codeName="Sheet4"/>
  <dimension ref="G9:AA10"/>
  <sheetViews>
    <sheetView showGridLines="0" showRowColHeaders="0" tabSelected="1" zoomScaleNormal="100" workbookViewId="0"/>
  </sheetViews>
  <sheetFormatPr defaultRowHeight="14.4" x14ac:dyDescent="0.3"/>
  <cols>
    <col min="1" max="1" width="2.77734375" customWidth="1"/>
    <col min="6" max="6" width="2.77734375" customWidth="1"/>
    <col min="11" max="11" width="2.77734375" customWidth="1"/>
    <col min="16" max="16" width="2.77734375" customWidth="1"/>
    <col min="21" max="21" width="2.77734375" customWidth="1"/>
    <col min="26" max="26" width="2.77734375" customWidth="1"/>
  </cols>
  <sheetData>
    <row r="9" spans="7:27" x14ac:dyDescent="0.3">
      <c r="G9" s="13"/>
    </row>
    <row r="10" spans="7:27" x14ac:dyDescent="0.3">
      <c r="AA10" s="1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56542-088D-4A3C-9C05-C9E48A120C1B}">
  <sheetPr codeName="Sheet5"/>
  <dimension ref="G2:W35"/>
  <sheetViews>
    <sheetView showGridLines="0" showRowColHeaders="0" workbookViewId="0"/>
  </sheetViews>
  <sheetFormatPr defaultRowHeight="14.4" x14ac:dyDescent="0.3"/>
  <cols>
    <col min="1" max="1" width="2.77734375" customWidth="1"/>
    <col min="6" max="6" width="2.77734375" customWidth="1"/>
    <col min="7" max="7" width="31.6640625" bestFit="1" customWidth="1"/>
    <col min="8" max="8" width="18.109375" bestFit="1" customWidth="1"/>
    <col min="9" max="9" width="13.21875" bestFit="1" customWidth="1"/>
    <col min="10" max="10" width="7.88671875" bestFit="1" customWidth="1"/>
    <col min="11" max="11" width="7" bestFit="1" customWidth="1"/>
    <col min="12" max="12" width="8.44140625" bestFit="1" customWidth="1"/>
    <col min="13" max="13" width="9.77734375" bestFit="1" customWidth="1"/>
    <col min="14" max="14" width="6.5546875" bestFit="1" customWidth="1"/>
    <col min="15" max="15" width="7.44140625" bestFit="1" customWidth="1"/>
    <col min="16" max="16" width="20.33203125" bestFit="1" customWidth="1"/>
    <col min="17" max="17" width="4.5546875" bestFit="1" customWidth="1"/>
    <col min="18" max="18" width="6.21875" bestFit="1" customWidth="1"/>
    <col min="20" max="21" width="2.77734375" customWidth="1"/>
    <col min="23" max="23" width="0" hidden="1" customWidth="1"/>
    <col min="26" max="26" width="2.77734375" customWidth="1"/>
  </cols>
  <sheetData>
    <row r="2" spans="7:23" x14ac:dyDescent="0.3">
      <c r="W2">
        <v>0</v>
      </c>
    </row>
    <row r="10" spans="7:23" x14ac:dyDescent="0.3">
      <c r="G10" s="14" t="s">
        <v>111</v>
      </c>
      <c r="H10" s="14" t="s">
        <v>112</v>
      </c>
      <c r="I10" s="14" t="s">
        <v>119</v>
      </c>
      <c r="J10" s="14" t="s">
        <v>3</v>
      </c>
      <c r="K10" s="14" t="s">
        <v>4</v>
      </c>
      <c r="L10" s="14" t="s">
        <v>6</v>
      </c>
      <c r="M10" s="14" t="s">
        <v>93</v>
      </c>
      <c r="N10" s="14" t="s">
        <v>5</v>
      </c>
      <c r="O10" s="14" t="s">
        <v>97</v>
      </c>
      <c r="P10" s="14" t="s">
        <v>117</v>
      </c>
      <c r="Q10" s="14" t="s">
        <v>118</v>
      </c>
      <c r="R10" s="14" t="s">
        <v>116</v>
      </c>
    </row>
    <row r="11" spans="7:23" x14ac:dyDescent="0.3">
      <c r="G11" s="15" t="str">
        <f ca="1">IF(OFFSET(WorkSheet!$W8,'Detailed view'!$W$2,0)=0,"",OFFSET(WorkSheet!W8,$W$2,0))</f>
        <v>All-Bran with Extra Fiber</v>
      </c>
      <c r="H11" s="17">
        <f ca="1">IF(OFFSET(WorkSheet!$W8,W2,0)=0,"",OFFSET(WorkSheet!X8,$W$2,0))</f>
        <v>94</v>
      </c>
      <c r="I11" s="17">
        <f ca="1">IF(OFFSET(WorkSheet!$W8,X2,0)=0,"",OFFSET(WorkSheet!Y8,$W$2,0))</f>
        <v>28</v>
      </c>
      <c r="J11" s="17">
        <f ca="1">IF(OFFSET(WorkSheet!$W8,Y2,0)=0,"",OFFSET(WorkSheet!Z8,$W$2,0))</f>
        <v>50</v>
      </c>
      <c r="K11" s="17">
        <f ca="1">IF(OFFSET(WorkSheet!$W8,Z2,0)=0,"",OFFSET(WorkSheet!AA8,$W$2,0))</f>
        <v>4</v>
      </c>
      <c r="L11" s="17">
        <f ca="1">IF(OFFSET(WorkSheet!$W8,AA2,0)=0,"",OFFSET(WorkSheet!AB8,$W$2,0))</f>
        <v>25</v>
      </c>
      <c r="M11" s="17">
        <f ca="1">IF(OFFSET(WorkSheet!$W8,AB2,0)=0,"",OFFSET(WorkSheet!AC8,$W$2,0))</f>
        <v>0.33</v>
      </c>
      <c r="N11" s="17">
        <f ca="1">IF(OFFSET(WorkSheet!$W8,AC2,0)=0,"",OFFSET(WorkSheet!AD8,$W$2,0))</f>
        <v>0</v>
      </c>
      <c r="O11" s="17">
        <f ca="1">IF(OFFSET(WorkSheet!$W8,AD2,0)=0,"",OFFSET(WorkSheet!AE8,$W$2,0))</f>
        <v>0.14000000000000001</v>
      </c>
      <c r="P11" s="17">
        <f ca="1">IF(OFFSET(WorkSheet!$W8,AE2,0)=0,"",OFFSET(WorkSheet!AF8,$W$2,0))</f>
        <v>8</v>
      </c>
      <c r="Q11" s="17">
        <f ca="1">IF(OFFSET(WorkSheet!$W8,AF2,0)=0,"",OFFSET(WorkSheet!AG8,$W$2,0))</f>
        <v>0</v>
      </c>
      <c r="R11" s="17">
        <f ca="1">IF(OFFSET(WorkSheet!$W8,AG2,0)=0,"",OFFSET(WorkSheet!AH8,$W$2,0))</f>
        <v>14</v>
      </c>
    </row>
    <row r="12" spans="7:23" x14ac:dyDescent="0.3">
      <c r="G12" s="15" t="str">
        <f ca="1">IF(OFFSET(WorkSheet!$W9,'Detailed view'!$W$2,0)=0,"",OFFSET(WorkSheet!W9,$W$2,0))</f>
        <v>Shredded Wheat 'n'Bran</v>
      </c>
      <c r="H12" s="17">
        <f ca="1">IF(OFFSET(WorkSheet!$W9,W3,0)=0,"",OFFSET(WorkSheet!X9,$W$2,0))</f>
        <v>74</v>
      </c>
      <c r="I12" s="17">
        <f ca="1">IF(OFFSET(WorkSheet!$W9,X3,0)=0,"",OFFSET(WorkSheet!Y9,$W$2,0))</f>
        <v>28</v>
      </c>
      <c r="J12" s="17">
        <f ca="1">IF(OFFSET(WorkSheet!$W9,Y3,0)=0,"",OFFSET(WorkSheet!Z9,$W$2,0))</f>
        <v>90</v>
      </c>
      <c r="K12" s="17">
        <f ca="1">IF(OFFSET(WorkSheet!$W9,Z3,0)=0,"",OFFSET(WorkSheet!AA9,$W$2,0))</f>
        <v>3</v>
      </c>
      <c r="L12" s="17">
        <f ca="1">IF(OFFSET(WorkSheet!$W9,AA3,0)=0,"",OFFSET(WorkSheet!AB9,$W$2,0))</f>
        <v>0</v>
      </c>
      <c r="M12" s="17">
        <f ca="1">IF(OFFSET(WorkSheet!$W9,AB3,0)=0,"",OFFSET(WorkSheet!AC9,$W$2,0))</f>
        <v>0.14000000000000001</v>
      </c>
      <c r="N12" s="17">
        <f ca="1">IF(OFFSET(WorkSheet!$W9,AC3,0)=0,"",OFFSET(WorkSheet!AD9,$W$2,0))</f>
        <v>0</v>
      </c>
      <c r="O12" s="17">
        <f ca="1">IF(OFFSET(WorkSheet!$W9,AD3,0)=0,"",OFFSET(WorkSheet!AE9,$W$2,0))</f>
        <v>0</v>
      </c>
      <c r="P12" s="17">
        <f ca="1">IF(OFFSET(WorkSheet!$W9,AE3,0)=0,"",OFFSET(WorkSheet!AF9,$W$2,0))</f>
        <v>19</v>
      </c>
      <c r="Q12" s="17">
        <f ca="1">IF(OFFSET(WorkSheet!$W9,AF3,0)=0,"",OFFSET(WorkSheet!AG9,$W$2,0))</f>
        <v>0</v>
      </c>
      <c r="R12" s="17">
        <f ca="1">IF(OFFSET(WorkSheet!$W9,AG3,0)=0,"",OFFSET(WorkSheet!AH9,$W$2,0))</f>
        <v>4</v>
      </c>
    </row>
    <row r="13" spans="7:23" x14ac:dyDescent="0.3">
      <c r="G13" s="15" t="str">
        <f ca="1">IF(OFFSET(WorkSheet!$W10,'Detailed view'!$W$2,0)=0,"",OFFSET(WorkSheet!W10,$W$2,0))</f>
        <v>Shredded Wheat spoon size</v>
      </c>
      <c r="H13" s="17">
        <f ca="1">IF(OFFSET(WorkSheet!$W10,W4,0)=0,"",OFFSET(WorkSheet!X10,$W$2,0))</f>
        <v>73</v>
      </c>
      <c r="I13" s="17">
        <f ca="1">IF(OFFSET(WorkSheet!$W10,X4,0)=0,"",OFFSET(WorkSheet!Y10,$W$2,0))</f>
        <v>28</v>
      </c>
      <c r="J13" s="17">
        <f ca="1">IF(OFFSET(WorkSheet!$W10,Y4,0)=0,"",OFFSET(WorkSheet!Z10,$W$2,0))</f>
        <v>90</v>
      </c>
      <c r="K13" s="17">
        <f ca="1">IF(OFFSET(WorkSheet!$W10,Z4,0)=0,"",OFFSET(WorkSheet!AA10,$W$2,0))</f>
        <v>3</v>
      </c>
      <c r="L13" s="17">
        <f ca="1">IF(OFFSET(WorkSheet!$W10,AA4,0)=0,"",OFFSET(WorkSheet!AB10,$W$2,0))</f>
        <v>0</v>
      </c>
      <c r="M13" s="17">
        <f ca="1">IF(OFFSET(WorkSheet!$W10,AB4,0)=0,"",OFFSET(WorkSheet!AC10,$W$2,0))</f>
        <v>0.12</v>
      </c>
      <c r="N13" s="17">
        <f ca="1">IF(OFFSET(WorkSheet!$W10,AC4,0)=0,"",OFFSET(WorkSheet!AD10,$W$2,0))</f>
        <v>0</v>
      </c>
      <c r="O13" s="17">
        <f ca="1">IF(OFFSET(WorkSheet!$W10,AD4,0)=0,"",OFFSET(WorkSheet!AE10,$W$2,0))</f>
        <v>0</v>
      </c>
      <c r="P13" s="17">
        <f ca="1">IF(OFFSET(WorkSheet!$W10,AE4,0)=0,"",OFFSET(WorkSheet!AF10,$W$2,0))</f>
        <v>20</v>
      </c>
      <c r="Q13" s="17">
        <f ca="1">IF(OFFSET(WorkSheet!$W10,AF4,0)=0,"",OFFSET(WorkSheet!AG10,$W$2,0))</f>
        <v>0</v>
      </c>
      <c r="R13" s="17">
        <f ca="1">IF(OFFSET(WorkSheet!$W10,AG4,0)=0,"",OFFSET(WorkSheet!AH10,$W$2,0))</f>
        <v>3</v>
      </c>
    </row>
    <row r="14" spans="7:23" x14ac:dyDescent="0.3">
      <c r="G14" s="15" t="str">
        <f ca="1">IF(OFFSET(WorkSheet!$W11,'Detailed view'!$W$2,0)=0,"",OFFSET(WorkSheet!W11,$W$2,0))</f>
        <v>Shredded Wheat</v>
      </c>
      <c r="H14" s="17">
        <f ca="1">IF(OFFSET(WorkSheet!$W11,W5,0)=0,"",OFFSET(WorkSheet!X11,$W$2,0))</f>
        <v>68</v>
      </c>
      <c r="I14" s="17">
        <f ca="1">IF(OFFSET(WorkSheet!$W11,X5,0)=0,"",OFFSET(WorkSheet!Y11,$W$2,0))</f>
        <v>24</v>
      </c>
      <c r="J14" s="17">
        <f ca="1">IF(OFFSET(WorkSheet!$W11,Y5,0)=0,"",OFFSET(WorkSheet!Z11,$W$2,0))</f>
        <v>80</v>
      </c>
      <c r="K14" s="17">
        <f ca="1">IF(OFFSET(WorkSheet!$W11,Z5,0)=0,"",OFFSET(WorkSheet!AA11,$W$2,0))</f>
        <v>2</v>
      </c>
      <c r="L14" s="17">
        <f ca="1">IF(OFFSET(WorkSheet!$W11,AA5,0)=0,"",OFFSET(WorkSheet!AB11,$W$2,0))</f>
        <v>0</v>
      </c>
      <c r="M14" s="17">
        <f ca="1">IF(OFFSET(WorkSheet!$W11,AB5,0)=0,"",OFFSET(WorkSheet!AC11,$W$2,0))</f>
        <v>9.5000000000000001E-2</v>
      </c>
      <c r="N14" s="17">
        <f ca="1">IF(OFFSET(WorkSheet!$W11,AC5,0)=0,"",OFFSET(WorkSheet!AD11,$W$2,0))</f>
        <v>0</v>
      </c>
      <c r="O14" s="17">
        <f ca="1">IF(OFFSET(WorkSheet!$W11,AD5,0)=0,"",OFFSET(WorkSheet!AE11,$W$2,0))</f>
        <v>0</v>
      </c>
      <c r="P14" s="17">
        <f ca="1">IF(OFFSET(WorkSheet!$W11,AE5,0)=0,"",OFFSET(WorkSheet!AF11,$W$2,0))</f>
        <v>16</v>
      </c>
      <c r="Q14" s="17">
        <f ca="1">IF(OFFSET(WorkSheet!$W11,AF5,0)=0,"",OFFSET(WorkSheet!AG11,$W$2,0))</f>
        <v>0</v>
      </c>
      <c r="R14" s="17">
        <f ca="1">IF(OFFSET(WorkSheet!$W11,AG5,0)=0,"",OFFSET(WorkSheet!AH11,$W$2,0))</f>
        <v>3</v>
      </c>
    </row>
    <row r="15" spans="7:23" x14ac:dyDescent="0.3">
      <c r="G15" s="15" t="str">
        <f ca="1">IF(OFFSET(WorkSheet!$W12,'Detailed view'!$W$2,0)=0,"",OFFSET(WorkSheet!W12,$W$2,0))</f>
        <v>100% Bran</v>
      </c>
      <c r="H15" s="17">
        <f ca="1">IF(OFFSET(WorkSheet!$W12,W6,0)=0,"",OFFSET(WorkSheet!X12,$W$2,0))</f>
        <v>68</v>
      </c>
      <c r="I15" s="17">
        <f ca="1">IF(OFFSET(WorkSheet!$W12,X6,0)=0,"",OFFSET(WorkSheet!Y12,$W$2,0))</f>
        <v>28</v>
      </c>
      <c r="J15" s="17">
        <f ca="1">IF(OFFSET(WorkSheet!$W12,Y6,0)=0,"",OFFSET(WorkSheet!Z12,$W$2,0))</f>
        <v>70</v>
      </c>
      <c r="K15" s="17">
        <f ca="1">IF(OFFSET(WorkSheet!$W12,Z6,0)=0,"",OFFSET(WorkSheet!AA12,$W$2,0))</f>
        <v>4</v>
      </c>
      <c r="L15" s="17">
        <f ca="1">IF(OFFSET(WorkSheet!$W12,AA6,0)=0,"",OFFSET(WorkSheet!AB12,$W$2,0))</f>
        <v>25</v>
      </c>
      <c r="M15" s="17">
        <f ca="1">IF(OFFSET(WorkSheet!$W12,AB6,0)=0,"",OFFSET(WorkSheet!AC12,$W$2,0))</f>
        <v>0.28000000000000003</v>
      </c>
      <c r="N15" s="17">
        <f ca="1">IF(OFFSET(WorkSheet!$W12,AC6,0)=0,"",OFFSET(WorkSheet!AD12,$W$2,0))</f>
        <v>6</v>
      </c>
      <c r="O15" s="17">
        <f ca="1">IF(OFFSET(WorkSheet!$W12,AD6,0)=0,"",OFFSET(WorkSheet!AE12,$W$2,0))</f>
        <v>0.13</v>
      </c>
      <c r="P15" s="17">
        <f ca="1">IF(OFFSET(WorkSheet!$W12,AE6,0)=0,"",OFFSET(WorkSheet!AF12,$W$2,0))</f>
        <v>5</v>
      </c>
      <c r="Q15" s="17">
        <f ca="1">IF(OFFSET(WorkSheet!$W12,AF6,0)=0,"",OFFSET(WorkSheet!AG12,$W$2,0))</f>
        <v>1</v>
      </c>
      <c r="R15" s="17">
        <f ca="1">IF(OFFSET(WorkSheet!$W12,AG6,0)=0,"",OFFSET(WorkSheet!AH12,$W$2,0))</f>
        <v>10</v>
      </c>
    </row>
    <row r="16" spans="7:23" x14ac:dyDescent="0.3">
      <c r="G16" s="15" t="str">
        <f ca="1">IF(OFFSET(WorkSheet!$W13,'Detailed view'!$W$2,0)=0,"",OFFSET(WorkSheet!W13,$W$2,0))</f>
        <v>Cream of Wheat (Quick)</v>
      </c>
      <c r="H16" s="17">
        <f ca="1">IF(OFFSET(WorkSheet!$W13,W7,0)=0,"",OFFSET(WorkSheet!X13,$W$2,0))</f>
        <v>65</v>
      </c>
      <c r="I16" s="17">
        <f ca="1">IF(OFFSET(WorkSheet!$W13,X7,0)=0,"",OFFSET(WorkSheet!Y13,$W$2,0))</f>
        <v>28</v>
      </c>
      <c r="J16" s="17">
        <f ca="1">IF(OFFSET(WorkSheet!$W13,Y7,0)=0,"",OFFSET(WorkSheet!Z13,$W$2,0))</f>
        <v>100</v>
      </c>
      <c r="K16" s="17">
        <f ca="1">IF(OFFSET(WorkSheet!$W13,Z7,0)=0,"",OFFSET(WorkSheet!AA13,$W$2,0))</f>
        <v>3</v>
      </c>
      <c r="L16" s="17">
        <f ca="1">IF(OFFSET(WorkSheet!$W13,AA7,0)=0,"",OFFSET(WorkSheet!AB13,$W$2,0))</f>
        <v>0</v>
      </c>
      <c r="M16" s="17">
        <f ca="1">IF(OFFSET(WorkSheet!$W13,AB7,0)=0,"",OFFSET(WorkSheet!AC13,$W$2,0))</f>
        <v>-1E-3</v>
      </c>
      <c r="N16" s="17">
        <f ca="1">IF(OFFSET(WorkSheet!$W13,AC7,0)=0,"",OFFSET(WorkSheet!AD13,$W$2,0))</f>
        <v>0</v>
      </c>
      <c r="O16" s="17">
        <f ca="1">IF(OFFSET(WorkSheet!$W13,AD7,0)=0,"",OFFSET(WorkSheet!AE13,$W$2,0))</f>
        <v>0.08</v>
      </c>
      <c r="P16" s="17">
        <f ca="1">IF(OFFSET(WorkSheet!$W13,AE7,0)=0,"",OFFSET(WorkSheet!AF13,$W$2,0))</f>
        <v>21</v>
      </c>
      <c r="Q16" s="17">
        <f ca="1">IF(OFFSET(WorkSheet!$W13,AF7,0)=0,"",OFFSET(WorkSheet!AG13,$W$2,0))</f>
        <v>0</v>
      </c>
      <c r="R16" s="17">
        <f ca="1">IF(OFFSET(WorkSheet!$W13,AG7,0)=0,"",OFFSET(WorkSheet!AH13,$W$2,0))</f>
        <v>1</v>
      </c>
    </row>
    <row r="17" spans="7:18" x14ac:dyDescent="0.3">
      <c r="G17" s="15" t="str">
        <f ca="1">IF(OFFSET(WorkSheet!$W14,'Detailed view'!$W$2,0)=0,"",OFFSET(WorkSheet!W14,$W$2,0))</f>
        <v>Puffed Wheat</v>
      </c>
      <c r="H17" s="17">
        <f ca="1">IF(OFFSET(WorkSheet!$W14,W8,0)=0,"",OFFSET(WorkSheet!X14,$W$2,0))</f>
        <v>63</v>
      </c>
      <c r="I17" s="17">
        <f ca="1">IF(OFFSET(WorkSheet!$W14,X8,0)=0,"",OFFSET(WorkSheet!Y14,$W$2,0))</f>
        <v>14</v>
      </c>
      <c r="J17" s="17">
        <f ca="1">IF(OFFSET(WorkSheet!$W14,Y8,0)=0,"",OFFSET(WorkSheet!Z14,$W$2,0))</f>
        <v>50</v>
      </c>
      <c r="K17" s="17">
        <f ca="1">IF(OFFSET(WorkSheet!$W14,Z8,0)=0,"",OFFSET(WorkSheet!AA14,$W$2,0))</f>
        <v>2</v>
      </c>
      <c r="L17" s="17">
        <f ca="1">IF(OFFSET(WorkSheet!$W14,AA8,0)=0,"",OFFSET(WorkSheet!AB14,$W$2,0))</f>
        <v>0</v>
      </c>
      <c r="M17" s="17">
        <f ca="1">IF(OFFSET(WorkSheet!$W14,AB8,0)=0,"",OFFSET(WorkSheet!AC14,$W$2,0))</f>
        <v>0.05</v>
      </c>
      <c r="N17" s="17">
        <f ca="1">IF(OFFSET(WorkSheet!$W14,AC8,0)=0,"",OFFSET(WorkSheet!AD14,$W$2,0))</f>
        <v>0</v>
      </c>
      <c r="O17" s="17">
        <f ca="1">IF(OFFSET(WorkSheet!$W14,AD8,0)=0,"",OFFSET(WorkSheet!AE14,$W$2,0))</f>
        <v>0</v>
      </c>
      <c r="P17" s="17">
        <f ca="1">IF(OFFSET(WorkSheet!$W14,AE8,0)=0,"",OFFSET(WorkSheet!AF14,$W$2,0))</f>
        <v>10</v>
      </c>
      <c r="Q17" s="17">
        <f ca="1">IF(OFFSET(WorkSheet!$W14,AF8,0)=0,"",OFFSET(WorkSheet!AG14,$W$2,0))</f>
        <v>0</v>
      </c>
      <c r="R17" s="17">
        <f ca="1">IF(OFFSET(WorkSheet!$W14,AG8,0)=0,"",OFFSET(WorkSheet!AH14,$W$2,0))</f>
        <v>1</v>
      </c>
    </row>
    <row r="18" spans="7:18" x14ac:dyDescent="0.3">
      <c r="G18" s="15" t="str">
        <f ca="1">IF(OFFSET(WorkSheet!$W15,'Detailed view'!$W$2,0)=0,"",OFFSET(WorkSheet!W15,$W$2,0))</f>
        <v>Puffed Rice</v>
      </c>
      <c r="H18" s="17">
        <f ca="1">IF(OFFSET(WorkSheet!$W15,W9,0)=0,"",OFFSET(WorkSheet!X15,$W$2,0))</f>
        <v>61</v>
      </c>
      <c r="I18" s="17">
        <f ca="1">IF(OFFSET(WorkSheet!$W15,X9,0)=0,"",OFFSET(WorkSheet!Y15,$W$2,0))</f>
        <v>14</v>
      </c>
      <c r="J18" s="17">
        <f ca="1">IF(OFFSET(WorkSheet!$W15,Y9,0)=0,"",OFFSET(WorkSheet!Z15,$W$2,0))</f>
        <v>50</v>
      </c>
      <c r="K18" s="17">
        <f ca="1">IF(OFFSET(WorkSheet!$W15,Z9,0)=0,"",OFFSET(WorkSheet!AA15,$W$2,0))</f>
        <v>1</v>
      </c>
      <c r="L18" s="17">
        <f ca="1">IF(OFFSET(WorkSheet!$W15,AA9,0)=0,"",OFFSET(WorkSheet!AB15,$W$2,0))</f>
        <v>0</v>
      </c>
      <c r="M18" s="17">
        <f ca="1">IF(OFFSET(WorkSheet!$W15,AB9,0)=0,"",OFFSET(WorkSheet!AC15,$W$2,0))</f>
        <v>1.4999999999999999E-2</v>
      </c>
      <c r="N18" s="17">
        <f ca="1">IF(OFFSET(WorkSheet!$W15,AC9,0)=0,"",OFFSET(WorkSheet!AD15,$W$2,0))</f>
        <v>0</v>
      </c>
      <c r="O18" s="17">
        <f ca="1">IF(OFFSET(WorkSheet!$W15,AD9,0)=0,"",OFFSET(WorkSheet!AE15,$W$2,0))</f>
        <v>0</v>
      </c>
      <c r="P18" s="17">
        <f ca="1">IF(OFFSET(WorkSheet!$W15,AE9,0)=0,"",OFFSET(WorkSheet!AF15,$W$2,0))</f>
        <v>13</v>
      </c>
      <c r="Q18" s="17">
        <f ca="1">IF(OFFSET(WorkSheet!$W15,AF9,0)=0,"",OFFSET(WorkSheet!AG15,$W$2,0))</f>
        <v>0</v>
      </c>
      <c r="R18" s="17">
        <f ca="1">IF(OFFSET(WorkSheet!$W15,AG9,0)=0,"",OFFSET(WorkSheet!AH15,$W$2,0))</f>
        <v>0</v>
      </c>
    </row>
    <row r="19" spans="7:18" x14ac:dyDescent="0.3">
      <c r="G19" s="15" t="str">
        <f ca="1">IF(OFFSET(WorkSheet!$W16,'Detailed view'!$W$2,0)=0,"",OFFSET(WorkSheet!W16,$W$2,0))</f>
        <v>Nutri-grain Wheat</v>
      </c>
      <c r="H19" s="17">
        <f ca="1">IF(OFFSET(WorkSheet!$W16,W10,0)=0,"",OFFSET(WorkSheet!X16,$W$2,0))</f>
        <v>60</v>
      </c>
      <c r="I19" s="17">
        <f ca="1">IF(OFFSET(WorkSheet!$W16,X10,0)=0,"",OFFSET(WorkSheet!Y16,$W$2,0))</f>
        <v>28</v>
      </c>
      <c r="J19" s="17">
        <f ca="1">IF(OFFSET(WorkSheet!$W16,Y10,0)=0,"",OFFSET(WorkSheet!Z16,$W$2,0))</f>
        <v>90</v>
      </c>
      <c r="K19" s="17">
        <f ca="1">IF(OFFSET(WorkSheet!$W16,Z10,0)=0,"",OFFSET(WorkSheet!AA16,$W$2,0))</f>
        <v>3</v>
      </c>
      <c r="L19" s="17">
        <f ca="1">IF(OFFSET(WorkSheet!$W16,AA10,0)=0,"",OFFSET(WorkSheet!AB16,$W$2,0))</f>
        <v>25</v>
      </c>
      <c r="M19" s="17">
        <f ca="1">IF(OFFSET(WorkSheet!$W16,AB10,0)=0,"",OFFSET(WorkSheet!AC16,$W$2,0))</f>
        <v>0.09</v>
      </c>
      <c r="N19" s="17">
        <f ca="1">IF(OFFSET(WorkSheet!$W16,AC10,0)=0,"",OFFSET(WorkSheet!AD16,$W$2,0))</f>
        <v>2</v>
      </c>
      <c r="O19" s="17">
        <f ca="1">IF(OFFSET(WorkSheet!$W16,AD10,0)=0,"",OFFSET(WorkSheet!AE16,$W$2,0))</f>
        <v>0.17</v>
      </c>
      <c r="P19" s="17">
        <f ca="1">IF(OFFSET(WorkSheet!$W16,AE10,0)=0,"",OFFSET(WorkSheet!AF16,$W$2,0))</f>
        <v>18</v>
      </c>
      <c r="Q19" s="17">
        <f ca="1">IF(OFFSET(WorkSheet!$W16,AF10,0)=0,"",OFFSET(WorkSheet!AG16,$W$2,0))</f>
        <v>0</v>
      </c>
      <c r="R19" s="17">
        <f ca="1">IF(OFFSET(WorkSheet!$W16,AG10,0)=0,"",OFFSET(WorkSheet!AH16,$W$2,0))</f>
        <v>3</v>
      </c>
    </row>
    <row r="20" spans="7:18" x14ac:dyDescent="0.3">
      <c r="G20" s="15" t="str">
        <f ca="1">IF(OFFSET(WorkSheet!$W17,'Detailed view'!$W$2,0)=0,"",OFFSET(WorkSheet!W17,$W$2,0))</f>
        <v>All-Bran</v>
      </c>
      <c r="H20" s="17">
        <f ca="1">IF(OFFSET(WorkSheet!$W17,W11,0)=0,"",OFFSET(WorkSheet!X17,$W$2,0))</f>
        <v>59</v>
      </c>
      <c r="I20" s="17">
        <f ca="1">IF(OFFSET(WorkSheet!$W17,X11,0)=0,"",OFFSET(WorkSheet!Y17,$W$2,0))</f>
        <v>28</v>
      </c>
      <c r="J20" s="17">
        <f ca="1">IF(OFFSET(WorkSheet!$W17,Y11,0)=0,"",OFFSET(WorkSheet!Z17,$W$2,0))</f>
        <v>70</v>
      </c>
      <c r="K20" s="17">
        <f ca="1">IF(OFFSET(WorkSheet!$W17,Z11,0)=0,"",OFFSET(WorkSheet!AA17,$W$2,0))</f>
        <v>4</v>
      </c>
      <c r="L20" s="17">
        <f ca="1">IF(OFFSET(WorkSheet!$W17,AA11,0)=0,"",OFFSET(WorkSheet!AB17,$W$2,0))</f>
        <v>25</v>
      </c>
      <c r="M20" s="17">
        <f ca="1">IF(OFFSET(WorkSheet!$W17,AB11,0)=0,"",OFFSET(WorkSheet!AC17,$W$2,0))</f>
        <v>0.32</v>
      </c>
      <c r="N20" s="17">
        <f ca="1">IF(OFFSET(WorkSheet!$W17,AC11,0)=0,"",OFFSET(WorkSheet!AD17,$W$2,0))</f>
        <v>5</v>
      </c>
      <c r="O20" s="17">
        <f ca="1">IF(OFFSET(WorkSheet!$W17,AD11,0)=0,"",OFFSET(WorkSheet!AE17,$W$2,0))</f>
        <v>0.26</v>
      </c>
      <c r="P20" s="17">
        <f ca="1">IF(OFFSET(WorkSheet!$W17,AE11,0)=0,"",OFFSET(WorkSheet!AF17,$W$2,0))</f>
        <v>7</v>
      </c>
      <c r="Q20" s="17">
        <f ca="1">IF(OFFSET(WorkSheet!$W17,AF11,0)=0,"",OFFSET(WorkSheet!AG17,$W$2,0))</f>
        <v>1</v>
      </c>
      <c r="R20" s="17">
        <f ca="1">IF(OFFSET(WorkSheet!$W17,AG11,0)=0,"",OFFSET(WorkSheet!AH17,$W$2,0))</f>
        <v>9</v>
      </c>
    </row>
    <row r="21" spans="7:18" x14ac:dyDescent="0.3">
      <c r="G21" s="15" t="str">
        <f ca="1">IF(OFFSET(WorkSheet!$W18,'Detailed view'!$W$2,0)=0,"",OFFSET(WorkSheet!W18,$W$2,0))</f>
        <v>Strawberry Fruit Wheats</v>
      </c>
      <c r="H21" s="17">
        <f ca="1">IF(OFFSET(WorkSheet!$W18,W12,0)=0,"",OFFSET(WorkSheet!X18,$W$2,0))</f>
        <v>59</v>
      </c>
      <c r="I21" s="17">
        <f ca="1">IF(OFFSET(WorkSheet!$W18,X12,0)=0,"",OFFSET(WorkSheet!Y18,$W$2,0))</f>
        <v>28</v>
      </c>
      <c r="J21" s="17">
        <f ca="1">IF(OFFSET(WorkSheet!$W18,Y12,0)=0,"",OFFSET(WorkSheet!Z18,$W$2,0))</f>
        <v>90</v>
      </c>
      <c r="K21" s="17">
        <f ca="1">IF(OFFSET(WorkSheet!$W18,Z12,0)=0,"",OFFSET(WorkSheet!AA18,$W$2,0))</f>
        <v>2</v>
      </c>
      <c r="L21" s="17">
        <f ca="1">IF(OFFSET(WorkSheet!$W18,AA12,0)=0,"",OFFSET(WorkSheet!AB18,$W$2,0))</f>
        <v>25</v>
      </c>
      <c r="M21" s="17">
        <f ca="1">IF(OFFSET(WorkSheet!$W18,AB12,0)=0,"",OFFSET(WorkSheet!AC18,$W$2,0))</f>
        <v>0.09</v>
      </c>
      <c r="N21" s="17">
        <f ca="1">IF(OFFSET(WorkSheet!$W18,AC12,0)=0,"",OFFSET(WorkSheet!AD18,$W$2,0))</f>
        <v>5</v>
      </c>
      <c r="O21" s="17">
        <f ca="1">IF(OFFSET(WorkSheet!$W18,AD12,0)=0,"",OFFSET(WorkSheet!AE18,$W$2,0))</f>
        <v>1.4999999999999999E-2</v>
      </c>
      <c r="P21" s="17">
        <f ca="1">IF(OFFSET(WorkSheet!$W18,AE12,0)=0,"",OFFSET(WorkSheet!AF18,$W$2,0))</f>
        <v>15</v>
      </c>
      <c r="Q21" s="17">
        <f ca="1">IF(OFFSET(WorkSheet!$W18,AF12,0)=0,"",OFFSET(WorkSheet!AG18,$W$2,0))</f>
        <v>0</v>
      </c>
      <c r="R21" s="17">
        <f ca="1">IF(OFFSET(WorkSheet!$W18,AG12,0)=0,"",OFFSET(WorkSheet!AH18,$W$2,0))</f>
        <v>3</v>
      </c>
    </row>
    <row r="22" spans="7:18" x14ac:dyDescent="0.3">
      <c r="G22" s="15" t="str">
        <f ca="1">IF(OFFSET(WorkSheet!$W19,'Detailed view'!$W$2,0)=0,"",OFFSET(WorkSheet!W19,$W$2,0))</f>
        <v>Frosted Mini-Wheats</v>
      </c>
      <c r="H22" s="17">
        <f ca="1">IF(OFFSET(WorkSheet!$W19,W13,0)=0,"",OFFSET(WorkSheet!X19,$W$2,0))</f>
        <v>58</v>
      </c>
      <c r="I22" s="17">
        <f ca="1">IF(OFFSET(WorkSheet!$W19,X13,0)=0,"",OFFSET(WorkSheet!Y19,$W$2,0))</f>
        <v>28</v>
      </c>
      <c r="J22" s="17">
        <f ca="1">IF(OFFSET(WorkSheet!$W19,Y13,0)=0,"",OFFSET(WorkSheet!Z19,$W$2,0))</f>
        <v>100</v>
      </c>
      <c r="K22" s="17">
        <f ca="1">IF(OFFSET(WorkSheet!$W19,Z13,0)=0,"",OFFSET(WorkSheet!AA19,$W$2,0))</f>
        <v>3</v>
      </c>
      <c r="L22" s="17">
        <f ca="1">IF(OFFSET(WorkSheet!$W19,AA13,0)=0,"",OFFSET(WorkSheet!AB19,$W$2,0))</f>
        <v>25</v>
      </c>
      <c r="M22" s="17">
        <f ca="1">IF(OFFSET(WorkSheet!$W19,AB13,0)=0,"",OFFSET(WorkSheet!AC19,$W$2,0))</f>
        <v>0.1</v>
      </c>
      <c r="N22" s="17">
        <f ca="1">IF(OFFSET(WorkSheet!$W19,AC13,0)=0,"",OFFSET(WorkSheet!AD19,$W$2,0))</f>
        <v>7</v>
      </c>
      <c r="O22" s="17">
        <f ca="1">IF(OFFSET(WorkSheet!$W19,AD13,0)=0,"",OFFSET(WorkSheet!AE19,$W$2,0))</f>
        <v>0</v>
      </c>
      <c r="P22" s="17">
        <f ca="1">IF(OFFSET(WorkSheet!$W19,AE13,0)=0,"",OFFSET(WorkSheet!AF19,$W$2,0))</f>
        <v>14</v>
      </c>
      <c r="Q22" s="17">
        <f ca="1">IF(OFFSET(WorkSheet!$W19,AF13,0)=0,"",OFFSET(WorkSheet!AG19,$W$2,0))</f>
        <v>0</v>
      </c>
      <c r="R22" s="17">
        <f ca="1">IF(OFFSET(WorkSheet!$W19,AG13,0)=0,"",OFFSET(WorkSheet!AH19,$W$2,0))</f>
        <v>3</v>
      </c>
    </row>
    <row r="23" spans="7:18" x14ac:dyDescent="0.3">
      <c r="G23" s="15" t="str">
        <f ca="1">IF(OFFSET(WorkSheet!$W20,'Detailed view'!$W$2,0)=0,"",OFFSET(WorkSheet!W20,$W$2,0))</f>
        <v>Raisin Squares</v>
      </c>
      <c r="H23" s="17">
        <f ca="1">IF(OFFSET(WorkSheet!$W20,W14,0)=0,"",OFFSET(WorkSheet!X20,$W$2,0))</f>
        <v>55</v>
      </c>
      <c r="I23" s="17">
        <f ca="1">IF(OFFSET(WorkSheet!$W20,X14,0)=0,"",OFFSET(WorkSheet!Y20,$W$2,0))</f>
        <v>28</v>
      </c>
      <c r="J23" s="17">
        <f ca="1">IF(OFFSET(WorkSheet!$W20,Y14,0)=0,"",OFFSET(WorkSheet!Z20,$W$2,0))</f>
        <v>90</v>
      </c>
      <c r="K23" s="17">
        <f ca="1">IF(OFFSET(WorkSheet!$W20,Z14,0)=0,"",OFFSET(WorkSheet!AA20,$W$2,0))</f>
        <v>2</v>
      </c>
      <c r="L23" s="17">
        <f ca="1">IF(OFFSET(WorkSheet!$W20,AA14,0)=0,"",OFFSET(WorkSheet!AB20,$W$2,0))</f>
        <v>25</v>
      </c>
      <c r="M23" s="17">
        <f ca="1">IF(OFFSET(WorkSheet!$W20,AB14,0)=0,"",OFFSET(WorkSheet!AC20,$W$2,0))</f>
        <v>0.11</v>
      </c>
      <c r="N23" s="17">
        <f ca="1">IF(OFFSET(WorkSheet!$W20,AC14,0)=0,"",OFFSET(WorkSheet!AD20,$W$2,0))</f>
        <v>6</v>
      </c>
      <c r="O23" s="17">
        <f ca="1">IF(OFFSET(WorkSheet!$W20,AD14,0)=0,"",OFFSET(WorkSheet!AE20,$W$2,0))</f>
        <v>0</v>
      </c>
      <c r="P23" s="17">
        <f ca="1">IF(OFFSET(WorkSheet!$W20,AE14,0)=0,"",OFFSET(WorkSheet!AF20,$W$2,0))</f>
        <v>15</v>
      </c>
      <c r="Q23" s="17">
        <f ca="1">IF(OFFSET(WorkSheet!$W20,AF14,0)=0,"",OFFSET(WorkSheet!AG20,$W$2,0))</f>
        <v>0</v>
      </c>
      <c r="R23" s="17">
        <f ca="1">IF(OFFSET(WorkSheet!$W20,AG14,0)=0,"",OFFSET(WorkSheet!AH20,$W$2,0))</f>
        <v>2</v>
      </c>
    </row>
    <row r="24" spans="7:18" x14ac:dyDescent="0.3">
      <c r="G24" s="15" t="str">
        <f ca="1">IF(OFFSET(WorkSheet!$W21,'Detailed view'!$W$2,0)=0,"",OFFSET(WorkSheet!W21,$W$2,0))</f>
        <v>Maypo</v>
      </c>
      <c r="H24" s="17">
        <f ca="1">IF(OFFSET(WorkSheet!$W21,W15,0)=0,"",OFFSET(WorkSheet!X21,$W$2,0))</f>
        <v>55</v>
      </c>
      <c r="I24" s="17">
        <f ca="1">IF(OFFSET(WorkSheet!$W21,X15,0)=0,"",OFFSET(WorkSheet!Y21,$W$2,0))</f>
        <v>28</v>
      </c>
      <c r="J24" s="17">
        <f ca="1">IF(OFFSET(WorkSheet!$W21,Y15,0)=0,"",OFFSET(WorkSheet!Z21,$W$2,0))</f>
        <v>100</v>
      </c>
      <c r="K24" s="17">
        <f ca="1">IF(OFFSET(WorkSheet!$W21,Z15,0)=0,"",OFFSET(WorkSheet!AA21,$W$2,0))</f>
        <v>4</v>
      </c>
      <c r="L24" s="17">
        <f ca="1">IF(OFFSET(WorkSheet!$W21,AA15,0)=0,"",OFFSET(WorkSheet!AB21,$W$2,0))</f>
        <v>25</v>
      </c>
      <c r="M24" s="17">
        <f ca="1">IF(OFFSET(WorkSheet!$W21,AB15,0)=0,"",OFFSET(WorkSheet!AC21,$W$2,0))</f>
        <v>9.5000000000000001E-2</v>
      </c>
      <c r="N24" s="17">
        <f ca="1">IF(OFFSET(WorkSheet!$W21,AC15,0)=0,"",OFFSET(WorkSheet!AD21,$W$2,0))</f>
        <v>3</v>
      </c>
      <c r="O24" s="17">
        <f ca="1">IF(OFFSET(WorkSheet!$W21,AD15,0)=0,"",OFFSET(WorkSheet!AE21,$W$2,0))</f>
        <v>0</v>
      </c>
      <c r="P24" s="17">
        <f ca="1">IF(OFFSET(WorkSheet!$W21,AE15,0)=0,"",OFFSET(WorkSheet!AF21,$W$2,0))</f>
        <v>16</v>
      </c>
      <c r="Q24" s="17">
        <f ca="1">IF(OFFSET(WorkSheet!$W21,AF15,0)=0,"",OFFSET(WorkSheet!AG21,$W$2,0))</f>
        <v>1</v>
      </c>
      <c r="R24" s="17">
        <f ca="1">IF(OFFSET(WorkSheet!$W21,AG15,0)=0,"",OFFSET(WorkSheet!AH21,$W$2,0))</f>
        <v>0</v>
      </c>
    </row>
    <row r="25" spans="7:18" x14ac:dyDescent="0.3">
      <c r="G25" s="15" t="str">
        <f ca="1">IF(OFFSET(WorkSheet!$W22,'Detailed view'!$W$2,0)=0,"",OFFSET(WorkSheet!W22,$W$2,0))</f>
        <v>Grape-Nuts</v>
      </c>
      <c r="H25" s="17">
        <f ca="1">IF(OFFSET(WorkSheet!$W22,W16,0)=0,"",OFFSET(WorkSheet!X22,$W$2,0))</f>
        <v>53</v>
      </c>
      <c r="I25" s="17">
        <f ca="1">IF(OFFSET(WorkSheet!$W22,X16,0)=0,"",OFFSET(WorkSheet!Y22,$W$2,0))</f>
        <v>28</v>
      </c>
      <c r="J25" s="17">
        <f ca="1">IF(OFFSET(WorkSheet!$W22,Y16,0)=0,"",OFFSET(WorkSheet!Z22,$W$2,0))</f>
        <v>110</v>
      </c>
      <c r="K25" s="17">
        <f ca="1">IF(OFFSET(WorkSheet!$W22,Z16,0)=0,"",OFFSET(WorkSheet!AA22,$W$2,0))</f>
        <v>3</v>
      </c>
      <c r="L25" s="17">
        <f ca="1">IF(OFFSET(WorkSheet!$W22,AA16,0)=0,"",OFFSET(WorkSheet!AB22,$W$2,0))</f>
        <v>25</v>
      </c>
      <c r="M25" s="17">
        <f ca="1">IF(OFFSET(WorkSheet!$W22,AB16,0)=0,"",OFFSET(WorkSheet!AC22,$W$2,0))</f>
        <v>0.09</v>
      </c>
      <c r="N25" s="17">
        <f ca="1">IF(OFFSET(WorkSheet!$W22,AC16,0)=0,"",OFFSET(WorkSheet!AD22,$W$2,0))</f>
        <v>3</v>
      </c>
      <c r="O25" s="17">
        <f ca="1">IF(OFFSET(WorkSheet!$W22,AD16,0)=0,"",OFFSET(WorkSheet!AE22,$W$2,0))</f>
        <v>0.17</v>
      </c>
      <c r="P25" s="17">
        <f ca="1">IF(OFFSET(WorkSheet!$W22,AE16,0)=0,"",OFFSET(WorkSheet!AF22,$W$2,0))</f>
        <v>17</v>
      </c>
      <c r="Q25" s="17">
        <f ca="1">IF(OFFSET(WorkSheet!$W22,AF16,0)=0,"",OFFSET(WorkSheet!AG22,$W$2,0))</f>
        <v>0</v>
      </c>
      <c r="R25" s="17">
        <f ca="1">IF(OFFSET(WorkSheet!$W22,AG16,0)=0,"",OFFSET(WorkSheet!AH22,$W$2,0))</f>
        <v>3</v>
      </c>
    </row>
    <row r="26" spans="7:18" x14ac:dyDescent="0.3">
      <c r="G26" s="15" t="str">
        <f ca="1">IF(OFFSET(WorkSheet!$W23,'Detailed view'!$W$2,0)=0,"",OFFSET(WorkSheet!W23,$W$2,0))</f>
        <v>Special K</v>
      </c>
      <c r="H26" s="17">
        <f ca="1">IF(OFFSET(WorkSheet!$W23,W17,0)=0,"",OFFSET(WorkSheet!X23,$W$2,0))</f>
        <v>53</v>
      </c>
      <c r="I26" s="17">
        <f ca="1">IF(OFFSET(WorkSheet!$W23,X17,0)=0,"",OFFSET(WorkSheet!Y23,$W$2,0))</f>
        <v>28</v>
      </c>
      <c r="J26" s="17">
        <f ca="1">IF(OFFSET(WorkSheet!$W23,Y17,0)=0,"",OFFSET(WorkSheet!Z23,$W$2,0))</f>
        <v>110</v>
      </c>
      <c r="K26" s="17">
        <f ca="1">IF(OFFSET(WorkSheet!$W23,Z17,0)=0,"",OFFSET(WorkSheet!AA23,$W$2,0))</f>
        <v>6</v>
      </c>
      <c r="L26" s="17">
        <f ca="1">IF(OFFSET(WorkSheet!$W23,AA17,0)=0,"",OFFSET(WorkSheet!AB23,$W$2,0))</f>
        <v>25</v>
      </c>
      <c r="M26" s="17">
        <f ca="1">IF(OFFSET(WorkSheet!$W23,AB17,0)=0,"",OFFSET(WorkSheet!AC23,$W$2,0))</f>
        <v>5.5E-2</v>
      </c>
      <c r="N26" s="17">
        <f ca="1">IF(OFFSET(WorkSheet!$W23,AC17,0)=0,"",OFFSET(WorkSheet!AD23,$W$2,0))</f>
        <v>3</v>
      </c>
      <c r="O26" s="17">
        <f ca="1">IF(OFFSET(WorkSheet!$W23,AD17,0)=0,"",OFFSET(WorkSheet!AE23,$W$2,0))</f>
        <v>0.23</v>
      </c>
      <c r="P26" s="17">
        <f ca="1">IF(OFFSET(WorkSheet!$W23,AE17,0)=0,"",OFFSET(WorkSheet!AF23,$W$2,0))</f>
        <v>16</v>
      </c>
      <c r="Q26" s="17">
        <f ca="1">IF(OFFSET(WorkSheet!$W23,AF17,0)=0,"",OFFSET(WorkSheet!AG23,$W$2,0))</f>
        <v>0</v>
      </c>
      <c r="R26" s="17">
        <f ca="1">IF(OFFSET(WorkSheet!$W23,AG17,0)=0,"",OFFSET(WorkSheet!AH23,$W$2,0))</f>
        <v>1</v>
      </c>
    </row>
    <row r="27" spans="7:18" x14ac:dyDescent="0.3">
      <c r="G27" s="15" t="str">
        <f ca="1">IF(OFFSET(WorkSheet!$W24,'Detailed view'!$W$2,0)=0,"",OFFSET(WorkSheet!W24,$W$2,0))</f>
        <v>Bran Flakes</v>
      </c>
      <c r="H27" s="17">
        <f ca="1">IF(OFFSET(WorkSheet!$W24,W18,0)=0,"",OFFSET(WorkSheet!X24,$W$2,0))</f>
        <v>53</v>
      </c>
      <c r="I27" s="17">
        <f ca="1">IF(OFFSET(WorkSheet!$W24,X18,0)=0,"",OFFSET(WorkSheet!Y24,$W$2,0))</f>
        <v>28</v>
      </c>
      <c r="J27" s="17">
        <f ca="1">IF(OFFSET(WorkSheet!$W24,Y18,0)=0,"",OFFSET(WorkSheet!Z24,$W$2,0))</f>
        <v>90</v>
      </c>
      <c r="K27" s="17">
        <f ca="1">IF(OFFSET(WorkSheet!$W24,Z18,0)=0,"",OFFSET(WorkSheet!AA24,$W$2,0))</f>
        <v>3</v>
      </c>
      <c r="L27" s="17">
        <f ca="1">IF(OFFSET(WorkSheet!$W24,AA18,0)=0,"",OFFSET(WorkSheet!AB24,$W$2,0))</f>
        <v>25</v>
      </c>
      <c r="M27" s="17">
        <f ca="1">IF(OFFSET(WorkSheet!$W24,AB18,0)=0,"",OFFSET(WorkSheet!AC24,$W$2,0))</f>
        <v>0.19</v>
      </c>
      <c r="N27" s="17">
        <f ca="1">IF(OFFSET(WorkSheet!$W24,AC18,0)=0,"",OFFSET(WorkSheet!AD24,$W$2,0))</f>
        <v>5</v>
      </c>
      <c r="O27" s="17">
        <f ca="1">IF(OFFSET(WorkSheet!$W24,AD18,0)=0,"",OFFSET(WorkSheet!AE24,$W$2,0))</f>
        <v>0.21</v>
      </c>
      <c r="P27" s="17">
        <f ca="1">IF(OFFSET(WorkSheet!$W24,AE18,0)=0,"",OFFSET(WorkSheet!AF24,$W$2,0))</f>
        <v>13</v>
      </c>
      <c r="Q27" s="17">
        <f ca="1">IF(OFFSET(WorkSheet!$W24,AF18,0)=0,"",OFFSET(WorkSheet!AG24,$W$2,0))</f>
        <v>0</v>
      </c>
      <c r="R27" s="17">
        <f ca="1">IF(OFFSET(WorkSheet!$W24,AG18,0)=0,"",OFFSET(WorkSheet!AH24,$W$2,0))</f>
        <v>5</v>
      </c>
    </row>
    <row r="28" spans="7:18" x14ac:dyDescent="0.3">
      <c r="G28" s="15" t="str">
        <f ca="1">IF(OFFSET(WorkSheet!$W25,'Detailed view'!$W$2,0)=0,"",OFFSET(WorkSheet!W25,$W$2,0))</f>
        <v>Grape Nuts Flakes</v>
      </c>
      <c r="H28" s="17">
        <f ca="1">IF(OFFSET(WorkSheet!$W25,W19,0)=0,"",OFFSET(WorkSheet!X25,$W$2,0))</f>
        <v>52</v>
      </c>
      <c r="I28" s="17">
        <f ca="1">IF(OFFSET(WorkSheet!$W25,X19,0)=0,"",OFFSET(WorkSheet!Y25,$W$2,0))</f>
        <v>28</v>
      </c>
      <c r="J28" s="17">
        <f ca="1">IF(OFFSET(WorkSheet!$W25,Y19,0)=0,"",OFFSET(WorkSheet!Z25,$W$2,0))</f>
        <v>100</v>
      </c>
      <c r="K28" s="17">
        <f ca="1">IF(OFFSET(WorkSheet!$W25,Z19,0)=0,"",OFFSET(WorkSheet!AA25,$W$2,0))</f>
        <v>3</v>
      </c>
      <c r="L28" s="17">
        <f ca="1">IF(OFFSET(WorkSheet!$W25,AA19,0)=0,"",OFFSET(WorkSheet!AB25,$W$2,0))</f>
        <v>25</v>
      </c>
      <c r="M28" s="17">
        <f ca="1">IF(OFFSET(WorkSheet!$W25,AB19,0)=0,"",OFFSET(WorkSheet!AC25,$W$2,0))</f>
        <v>8.5000000000000006E-2</v>
      </c>
      <c r="N28" s="17">
        <f ca="1">IF(OFFSET(WorkSheet!$W25,AC19,0)=0,"",OFFSET(WorkSheet!AD25,$W$2,0))</f>
        <v>5</v>
      </c>
      <c r="O28" s="17">
        <f ca="1">IF(OFFSET(WorkSheet!$W25,AD19,0)=0,"",OFFSET(WorkSheet!AE25,$W$2,0))</f>
        <v>0.14000000000000001</v>
      </c>
      <c r="P28" s="17">
        <f ca="1">IF(OFFSET(WorkSheet!$W25,AE19,0)=0,"",OFFSET(WorkSheet!AF25,$W$2,0))</f>
        <v>15</v>
      </c>
      <c r="Q28" s="17">
        <f ca="1">IF(OFFSET(WorkSheet!$W25,AF19,0)=0,"",OFFSET(WorkSheet!AG25,$W$2,0))</f>
        <v>1</v>
      </c>
      <c r="R28" s="17">
        <f ca="1">IF(OFFSET(WorkSheet!$W25,AG19,0)=0,"",OFFSET(WorkSheet!AH25,$W$2,0))</f>
        <v>3</v>
      </c>
    </row>
    <row r="29" spans="7:18" x14ac:dyDescent="0.3">
      <c r="G29" s="15" t="str">
        <f ca="1">IF(OFFSET(WorkSheet!$W26,'Detailed view'!$W$2,0)=0,"",OFFSET(WorkSheet!W26,$W$2,0))</f>
        <v>Wheaties</v>
      </c>
      <c r="H29" s="17">
        <f ca="1">IF(OFFSET(WorkSheet!$W26,W20,0)=0,"",OFFSET(WorkSheet!X26,$W$2,0))</f>
        <v>52</v>
      </c>
      <c r="I29" s="17">
        <f ca="1">IF(OFFSET(WorkSheet!$W26,X20,0)=0,"",OFFSET(WorkSheet!Y26,$W$2,0))</f>
        <v>28</v>
      </c>
      <c r="J29" s="17">
        <f ca="1">IF(OFFSET(WorkSheet!$W26,Y20,0)=0,"",OFFSET(WorkSheet!Z26,$W$2,0))</f>
        <v>100</v>
      </c>
      <c r="K29" s="17">
        <f ca="1">IF(OFFSET(WorkSheet!$W26,Z20,0)=0,"",OFFSET(WorkSheet!AA26,$W$2,0))</f>
        <v>3</v>
      </c>
      <c r="L29" s="17">
        <f ca="1">IF(OFFSET(WorkSheet!$W26,AA20,0)=0,"",OFFSET(WorkSheet!AB26,$W$2,0))</f>
        <v>25</v>
      </c>
      <c r="M29" s="17">
        <f ca="1">IF(OFFSET(WorkSheet!$W26,AB20,0)=0,"",OFFSET(WorkSheet!AC26,$W$2,0))</f>
        <v>0.11</v>
      </c>
      <c r="N29" s="17">
        <f ca="1">IF(OFFSET(WorkSheet!$W26,AC20,0)=0,"",OFFSET(WorkSheet!AD26,$W$2,0))</f>
        <v>3</v>
      </c>
      <c r="O29" s="17">
        <f ca="1">IF(OFFSET(WorkSheet!$W26,AD20,0)=0,"",OFFSET(WorkSheet!AE26,$W$2,0))</f>
        <v>0.2</v>
      </c>
      <c r="P29" s="17">
        <f ca="1">IF(OFFSET(WorkSheet!$W26,AE20,0)=0,"",OFFSET(WorkSheet!AF26,$W$2,0))</f>
        <v>17</v>
      </c>
      <c r="Q29" s="17">
        <f ca="1">IF(OFFSET(WorkSheet!$W26,AF20,0)=0,"",OFFSET(WorkSheet!AG26,$W$2,0))</f>
        <v>1</v>
      </c>
      <c r="R29" s="17">
        <f ca="1">IF(OFFSET(WorkSheet!$W26,AG20,0)=0,"",OFFSET(WorkSheet!AH26,$W$2,0))</f>
        <v>3</v>
      </c>
    </row>
    <row r="30" spans="7:18" x14ac:dyDescent="0.3">
      <c r="G30" s="15" t="str">
        <f ca="1">IF(OFFSET(WorkSheet!$W27,'Detailed view'!$W$2,0)=0,"",OFFSET(WorkSheet!W27,$W$2,0))</f>
        <v>Quaker Oatmeal</v>
      </c>
      <c r="H30" s="17">
        <f ca="1">IF(OFFSET(WorkSheet!$W27,W21,0)=0,"",OFFSET(WorkSheet!X27,$W$2,0))</f>
        <v>51</v>
      </c>
      <c r="I30" s="17">
        <f ca="1">IF(OFFSET(WorkSheet!$W27,X21,0)=0,"",OFFSET(WorkSheet!Y27,$W$2,0))</f>
        <v>28</v>
      </c>
      <c r="J30" s="17">
        <f ca="1">IF(OFFSET(WorkSheet!$W27,Y21,0)=0,"",OFFSET(WorkSheet!Z27,$W$2,0))</f>
        <v>100</v>
      </c>
      <c r="K30" s="17">
        <f ca="1">IF(OFFSET(WorkSheet!$W27,Z21,0)=0,"",OFFSET(WorkSheet!AA27,$W$2,0))</f>
        <v>5</v>
      </c>
      <c r="L30" s="17">
        <f ca="1">IF(OFFSET(WorkSheet!$W27,AA21,0)=0,"",OFFSET(WorkSheet!AB27,$W$2,0))</f>
        <v>0</v>
      </c>
      <c r="M30" s="17">
        <f ca="1">IF(OFFSET(WorkSheet!$W27,AB21,0)=0,"",OFFSET(WorkSheet!AC27,$W$2,0))</f>
        <v>0.11</v>
      </c>
      <c r="N30" s="17">
        <f ca="1">IF(OFFSET(WorkSheet!$W27,AC21,0)=0,"",OFFSET(WorkSheet!AD27,$W$2,0))</f>
        <v>-1</v>
      </c>
      <c r="O30" s="17">
        <f ca="1">IF(OFFSET(WorkSheet!$W27,AD21,0)=0,"",OFFSET(WorkSheet!AE27,$W$2,0))</f>
        <v>0</v>
      </c>
      <c r="P30" s="17">
        <f ca="1">IF(OFFSET(WorkSheet!$W27,AE21,0)=0,"",OFFSET(WorkSheet!AF27,$W$2,0))</f>
        <v>-1</v>
      </c>
      <c r="Q30" s="17">
        <f ca="1">IF(OFFSET(WorkSheet!$W27,AF21,0)=0,"",OFFSET(WorkSheet!AG27,$W$2,0))</f>
        <v>2</v>
      </c>
      <c r="R30" s="17">
        <f ca="1">IF(OFFSET(WorkSheet!$W27,AG21,0)=0,"",OFFSET(WorkSheet!AH27,$W$2,0))</f>
        <v>2.7</v>
      </c>
    </row>
    <row r="31" spans="7:18" x14ac:dyDescent="0.3">
      <c r="G31" s="15" t="str">
        <f ca="1">IF(OFFSET(WorkSheet!$W28,'Detailed view'!$W$2,0)=0,"",OFFSET(WorkSheet!W28,$W$2,0))</f>
        <v>Cheerios</v>
      </c>
      <c r="H31" s="17">
        <f ca="1">IF(OFFSET(WorkSheet!$W28,W22,0)=0,"",OFFSET(WorkSheet!X28,$W$2,0))</f>
        <v>51</v>
      </c>
      <c r="I31" s="17">
        <f ca="1">IF(OFFSET(WorkSheet!$W28,X22,0)=0,"",OFFSET(WorkSheet!Y28,$W$2,0))</f>
        <v>28</v>
      </c>
      <c r="J31" s="17">
        <f ca="1">IF(OFFSET(WorkSheet!$W28,Y22,0)=0,"",OFFSET(WorkSheet!Z28,$W$2,0))</f>
        <v>110</v>
      </c>
      <c r="K31" s="17">
        <f ca="1">IF(OFFSET(WorkSheet!$W28,Z22,0)=0,"",OFFSET(WorkSheet!AA28,$W$2,0))</f>
        <v>6</v>
      </c>
      <c r="L31" s="17">
        <f ca="1">IF(OFFSET(WorkSheet!$W28,AA22,0)=0,"",OFFSET(WorkSheet!AB28,$W$2,0))</f>
        <v>25</v>
      </c>
      <c r="M31" s="17">
        <f ca="1">IF(OFFSET(WorkSheet!$W28,AB22,0)=0,"",OFFSET(WorkSheet!AC28,$W$2,0))</f>
        <v>0.105</v>
      </c>
      <c r="N31" s="17">
        <f ca="1">IF(OFFSET(WorkSheet!$W28,AC22,0)=0,"",OFFSET(WorkSheet!AD28,$W$2,0))</f>
        <v>1</v>
      </c>
      <c r="O31" s="17">
        <f ca="1">IF(OFFSET(WorkSheet!$W28,AD22,0)=0,"",OFFSET(WorkSheet!AE28,$W$2,0))</f>
        <v>0.28999999999999998</v>
      </c>
      <c r="P31" s="17">
        <f ca="1">IF(OFFSET(WorkSheet!$W28,AE22,0)=0,"",OFFSET(WorkSheet!AF28,$W$2,0))</f>
        <v>17</v>
      </c>
      <c r="Q31" s="17">
        <f ca="1">IF(OFFSET(WorkSheet!$W28,AF22,0)=0,"",OFFSET(WorkSheet!AG28,$W$2,0))</f>
        <v>2</v>
      </c>
      <c r="R31" s="17">
        <f ca="1">IF(OFFSET(WorkSheet!$W28,AG22,0)=0,"",OFFSET(WorkSheet!AH28,$W$2,0))</f>
        <v>2</v>
      </c>
    </row>
    <row r="32" spans="7:18" x14ac:dyDescent="0.3">
      <c r="G32" s="15" t="str">
        <f ca="1">IF(OFFSET(WorkSheet!$W29,'Detailed view'!$W$2,0)=0,"",OFFSET(WorkSheet!W29,$W$2,0))</f>
        <v>Quaker Oat Squares</v>
      </c>
      <c r="H32" s="17">
        <f ca="1">IF(OFFSET(WorkSheet!$W29,W23,0)=0,"",OFFSET(WorkSheet!X29,$W$2,0))</f>
        <v>50</v>
      </c>
      <c r="I32" s="17">
        <f ca="1">IF(OFFSET(WorkSheet!$W29,X23,0)=0,"",OFFSET(WorkSheet!Y29,$W$2,0))</f>
        <v>28</v>
      </c>
      <c r="J32" s="17">
        <f ca="1">IF(OFFSET(WorkSheet!$W29,Y23,0)=0,"",OFFSET(WorkSheet!Z29,$W$2,0))</f>
        <v>100</v>
      </c>
      <c r="K32" s="17">
        <f ca="1">IF(OFFSET(WorkSheet!$W29,Z23,0)=0,"",OFFSET(WorkSheet!AA29,$W$2,0))</f>
        <v>4</v>
      </c>
      <c r="L32" s="17">
        <f ca="1">IF(OFFSET(WorkSheet!$W29,AA23,0)=0,"",OFFSET(WorkSheet!AB29,$W$2,0))</f>
        <v>25</v>
      </c>
      <c r="M32" s="17">
        <f ca="1">IF(OFFSET(WorkSheet!$W29,AB23,0)=0,"",OFFSET(WorkSheet!AC29,$W$2,0))</f>
        <v>0.11</v>
      </c>
      <c r="N32" s="17">
        <f ca="1">IF(OFFSET(WorkSheet!$W29,AC23,0)=0,"",OFFSET(WorkSheet!AD29,$W$2,0))</f>
        <v>6</v>
      </c>
      <c r="O32" s="17">
        <f ca="1">IF(OFFSET(WorkSheet!$W29,AD23,0)=0,"",OFFSET(WorkSheet!AE29,$W$2,0))</f>
        <v>0.13500000000000001</v>
      </c>
      <c r="P32" s="17">
        <f ca="1">IF(OFFSET(WorkSheet!$W29,AE23,0)=0,"",OFFSET(WorkSheet!AF29,$W$2,0))</f>
        <v>14</v>
      </c>
      <c r="Q32" s="17">
        <f ca="1">IF(OFFSET(WorkSheet!$W29,AF23,0)=0,"",OFFSET(WorkSheet!AG29,$W$2,0))</f>
        <v>1</v>
      </c>
      <c r="R32" s="17">
        <f ca="1">IF(OFFSET(WorkSheet!$W29,AG23,0)=0,"",OFFSET(WorkSheet!AH29,$W$2,0))</f>
        <v>2</v>
      </c>
    </row>
    <row r="33" spans="7:18" x14ac:dyDescent="0.3">
      <c r="G33" s="15" t="str">
        <f ca="1">IF(OFFSET(WorkSheet!$W30,'Detailed view'!$W$2,0)=0,"",OFFSET(WorkSheet!W30,$W$2,0))</f>
        <v>Wheat Chex</v>
      </c>
      <c r="H33" s="17">
        <f ca="1">IF(OFFSET(WorkSheet!$W30,W24,0)=0,"",OFFSET(WorkSheet!X30,$W$2,0))</f>
        <v>50</v>
      </c>
      <c r="I33" s="17">
        <f ca="1">IF(OFFSET(WorkSheet!$W30,X24,0)=0,"",OFFSET(WorkSheet!Y30,$W$2,0))</f>
        <v>28</v>
      </c>
      <c r="J33" s="17">
        <f ca="1">IF(OFFSET(WorkSheet!$W30,Y24,0)=0,"",OFFSET(WorkSheet!Z30,$W$2,0))</f>
        <v>100</v>
      </c>
      <c r="K33" s="17">
        <f ca="1">IF(OFFSET(WorkSheet!$W30,Z24,0)=0,"",OFFSET(WorkSheet!AA30,$W$2,0))</f>
        <v>3</v>
      </c>
      <c r="L33" s="17">
        <f ca="1">IF(OFFSET(WorkSheet!$W30,AA24,0)=0,"",OFFSET(WorkSheet!AB30,$W$2,0))</f>
        <v>25</v>
      </c>
      <c r="M33" s="17">
        <f ca="1">IF(OFFSET(WorkSheet!$W30,AB24,0)=0,"",OFFSET(WorkSheet!AC30,$W$2,0))</f>
        <v>0.115</v>
      </c>
      <c r="N33" s="17">
        <f ca="1">IF(OFFSET(WorkSheet!$W30,AC24,0)=0,"",OFFSET(WorkSheet!AD30,$W$2,0))</f>
        <v>3</v>
      </c>
      <c r="O33" s="17">
        <f ca="1">IF(OFFSET(WorkSheet!$W30,AD24,0)=0,"",OFFSET(WorkSheet!AE30,$W$2,0))</f>
        <v>0.23</v>
      </c>
      <c r="P33" s="17">
        <f ca="1">IF(OFFSET(WorkSheet!$W30,AE24,0)=0,"",OFFSET(WorkSheet!AF30,$W$2,0))</f>
        <v>17</v>
      </c>
      <c r="Q33" s="17">
        <f ca="1">IF(OFFSET(WorkSheet!$W30,AF24,0)=0,"",OFFSET(WorkSheet!AG30,$W$2,0))</f>
        <v>1</v>
      </c>
      <c r="R33" s="17">
        <f ca="1">IF(OFFSET(WorkSheet!$W30,AG24,0)=0,"",OFFSET(WorkSheet!AH30,$W$2,0))</f>
        <v>3</v>
      </c>
    </row>
    <row r="34" spans="7:18" x14ac:dyDescent="0.3">
      <c r="G34" s="15" t="str">
        <f ca="1">IF(OFFSET(WorkSheet!$W31,'Detailed view'!$W$2,0)=0,"",OFFSET(WorkSheet!W31,$W$2,0))</f>
        <v>Bran Chex</v>
      </c>
      <c r="H34" s="17">
        <f ca="1">IF(OFFSET(WorkSheet!$W31,W25,0)=0,"",OFFSET(WorkSheet!X31,$W$2,0))</f>
        <v>49</v>
      </c>
      <c r="I34" s="17">
        <f ca="1">IF(OFFSET(WorkSheet!$W31,X25,0)=0,"",OFFSET(WorkSheet!Y31,$W$2,0))</f>
        <v>28</v>
      </c>
      <c r="J34" s="17">
        <f ca="1">IF(OFFSET(WorkSheet!$W31,Y25,0)=0,"",OFFSET(WorkSheet!Z31,$W$2,0))</f>
        <v>90</v>
      </c>
      <c r="K34" s="17">
        <f ca="1">IF(OFFSET(WorkSheet!$W31,Z25,0)=0,"",OFFSET(WorkSheet!AA31,$W$2,0))</f>
        <v>2</v>
      </c>
      <c r="L34" s="17">
        <f ca="1">IF(OFFSET(WorkSheet!$W31,AA25,0)=0,"",OFFSET(WorkSheet!AB31,$W$2,0))</f>
        <v>25</v>
      </c>
      <c r="M34" s="17">
        <f ca="1">IF(OFFSET(WorkSheet!$W31,AB25,0)=0,"",OFFSET(WorkSheet!AC31,$W$2,0))</f>
        <v>0.125</v>
      </c>
      <c r="N34" s="17">
        <f ca="1">IF(OFFSET(WorkSheet!$W31,AC25,0)=0,"",OFFSET(WorkSheet!AD31,$W$2,0))</f>
        <v>6</v>
      </c>
      <c r="O34" s="17">
        <f ca="1">IF(OFFSET(WorkSheet!$W31,AD25,0)=0,"",OFFSET(WorkSheet!AE31,$W$2,0))</f>
        <v>0.2</v>
      </c>
      <c r="P34" s="17">
        <f ca="1">IF(OFFSET(WorkSheet!$W31,AE25,0)=0,"",OFFSET(WorkSheet!AF31,$W$2,0))</f>
        <v>15</v>
      </c>
      <c r="Q34" s="17">
        <f ca="1">IF(OFFSET(WorkSheet!$W31,AF25,0)=0,"",OFFSET(WorkSheet!AG31,$W$2,0))</f>
        <v>1</v>
      </c>
      <c r="R34" s="17">
        <f ca="1">IF(OFFSET(WorkSheet!$W31,AG25,0)=0,"",OFFSET(WorkSheet!AH31,$W$2,0))</f>
        <v>4</v>
      </c>
    </row>
    <row r="35" spans="7:18" x14ac:dyDescent="0.3">
      <c r="G35" s="16" t="str">
        <f ca="1">IF(OFFSET(WorkSheet!$W32,'Detailed view'!$W$2,0)=0,"",OFFSET(WorkSheet!W32,$W$2,0))</f>
        <v>Crispix</v>
      </c>
      <c r="H35" s="18">
        <f ca="1">IF(OFFSET(WorkSheet!$W32,W26,0)=0,"",OFFSET(WorkSheet!X32,$W$2,0))</f>
        <v>47</v>
      </c>
      <c r="I35" s="18">
        <f ca="1">IF(OFFSET(WorkSheet!$W32,X26,0)=0,"",OFFSET(WorkSheet!Y32,$W$2,0))</f>
        <v>28</v>
      </c>
      <c r="J35" s="18">
        <f ca="1">IF(OFFSET(WorkSheet!$W32,Y26,0)=0,"",OFFSET(WorkSheet!Z32,$W$2,0))</f>
        <v>110</v>
      </c>
      <c r="K35" s="18">
        <f ca="1">IF(OFFSET(WorkSheet!$W32,Z26,0)=0,"",OFFSET(WorkSheet!AA32,$W$2,0))</f>
        <v>2</v>
      </c>
      <c r="L35" s="18">
        <f ca="1">IF(OFFSET(WorkSheet!$W32,AA26,0)=0,"",OFFSET(WorkSheet!AB32,$W$2,0))</f>
        <v>25</v>
      </c>
      <c r="M35" s="18">
        <f ca="1">IF(OFFSET(WorkSheet!$W32,AB26,0)=0,"",OFFSET(WorkSheet!AC32,$W$2,0))</f>
        <v>0.03</v>
      </c>
      <c r="N35" s="18">
        <f ca="1">IF(OFFSET(WorkSheet!$W32,AC26,0)=0,"",OFFSET(WorkSheet!AD32,$W$2,0))</f>
        <v>3</v>
      </c>
      <c r="O35" s="18">
        <f ca="1">IF(OFFSET(WorkSheet!$W32,AD26,0)=0,"",OFFSET(WorkSheet!AE32,$W$2,0))</f>
        <v>0.22</v>
      </c>
      <c r="P35" s="18">
        <f ca="1">IF(OFFSET(WorkSheet!$W32,AE26,0)=0,"",OFFSET(WorkSheet!AF32,$W$2,0))</f>
        <v>21</v>
      </c>
      <c r="Q35" s="18">
        <f ca="1">IF(OFFSET(WorkSheet!$W32,AF26,0)=0,"",OFFSET(WorkSheet!AG32,$W$2,0))</f>
        <v>0</v>
      </c>
      <c r="R35" s="18">
        <f ca="1">IF(OFFSET(WorkSheet!$W32,AG26,0)=0,"",OFFSET(WorkSheet!AH32,$W$2,0))</f>
        <v>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8" r:id="rId3" name="Scroll Bar 6">
              <controlPr defaultSize="0" autoPict="0">
                <anchor moveWithCells="1">
                  <from>
                    <xdr:col>18</xdr:col>
                    <xdr:colOff>0</xdr:colOff>
                    <xdr:row>9</xdr:row>
                    <xdr:rowOff>0</xdr:rowOff>
                  </from>
                  <to>
                    <xdr:col>19</xdr:col>
                    <xdr:colOff>0</xdr:colOff>
                    <xdr:row>35</xdr:row>
                    <xdr:rowOff>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F06BEA92-95F8-4CAC-96A6-0F8B6D5A19C6}">
  <ds:schemaRefs/>
</ds:datastoreItem>
</file>

<file path=customXml/itemProps2.xml><?xml version="1.0" encoding="utf-8"?>
<ds:datastoreItem xmlns:ds="http://schemas.openxmlformats.org/officeDocument/2006/customXml" ds:itemID="{1830FAA1-02B1-47CC-9012-0B1D73F07EE5}">
  <ds:schemaRefs/>
</ds:datastoreItem>
</file>

<file path=customXml/itemProps3.xml><?xml version="1.0" encoding="utf-8"?>
<ds:datastoreItem xmlns:ds="http://schemas.openxmlformats.org/officeDocument/2006/customXml" ds:itemID="{C6A395A8-2E1E-450F-A9B0-54A49C8B46F1}">
  <ds:schemaRefs/>
</ds:datastoreItem>
</file>

<file path=customXml/itemProps4.xml><?xml version="1.0" encoding="utf-8"?>
<ds:datastoreItem xmlns:ds="http://schemas.openxmlformats.org/officeDocument/2006/customXml" ds:itemID="{C3F05D99-F83D-4DCB-9643-5DDA5559F6DE}">
  <ds:schemaRefs/>
</ds:datastoreItem>
</file>

<file path=customXml/itemProps5.xml><?xml version="1.0" encoding="utf-8"?>
<ds:datastoreItem xmlns:ds="http://schemas.openxmlformats.org/officeDocument/2006/customXml" ds:itemID="{AB500558-F7FC-41CF-840A-D161FEC925F8}">
  <ds:schemaRefs>
    <ds:schemaRef ds:uri="http://schemas.microsoft.com/DataMashup"/>
  </ds:schemaRefs>
</ds:datastoreItem>
</file>

<file path=customXml/itemProps6.xml><?xml version="1.0" encoding="utf-8"?>
<ds:datastoreItem xmlns:ds="http://schemas.openxmlformats.org/officeDocument/2006/customXml" ds:itemID="{92BAE2E1-7D4E-4BD0-972C-946C65EA8C97}">
  <ds:schemaRefs/>
</ds:datastoreItem>
</file>

<file path=customXml/itemProps7.xml><?xml version="1.0" encoding="utf-8"?>
<ds:datastoreItem xmlns:ds="http://schemas.openxmlformats.org/officeDocument/2006/customXml" ds:itemID="{49CAA670-1CF9-4ED6-AE29-78467BFA8263}">
  <ds:schemaRefs/>
</ds:datastoreItem>
</file>

<file path=customXml/itemProps8.xml><?xml version="1.0" encoding="utf-8"?>
<ds:datastoreItem xmlns:ds="http://schemas.openxmlformats.org/officeDocument/2006/customXml" ds:itemID="{45777C79-1F75-4DB8-86D7-2A805AC5FEE5}">
  <ds:schemaRefs/>
</ds:datastoreItem>
</file>

<file path=customXml/itemProps9.xml><?xml version="1.0" encoding="utf-8"?>
<ds:datastoreItem xmlns:ds="http://schemas.openxmlformats.org/officeDocument/2006/customXml" ds:itemID="{09758215-9701-486A-82CC-170AA03A25A8}">
  <ds:schemaRefs/>
</ds:datastoreItem>
</file>

<file path=customXml/itemProps10.xml><?xml version="1.0" encoding="utf-8"?>
<ds:datastoreItem xmlns:ds="http://schemas.openxmlformats.org/officeDocument/2006/customXml" ds:itemID="{10A794F1-A5C4-42B1-A897-B401AFE42DD5}">
  <ds:schemaRefs/>
</ds:datastoreItem>
</file>

<file path=customXml/itemProps11.xml><?xml version="1.0" encoding="utf-8"?>
<ds:datastoreItem xmlns:ds="http://schemas.openxmlformats.org/officeDocument/2006/customXml" ds:itemID="{789A7765-3298-44C5-B603-61A789D68CE7}">
  <ds:schemaRefs/>
</ds:datastoreItem>
</file>

<file path=customXml/itemProps12.xml><?xml version="1.0" encoding="utf-8"?>
<ds:datastoreItem xmlns:ds="http://schemas.openxmlformats.org/officeDocument/2006/customXml" ds:itemID="{E5BB8595-2483-4517-A751-6CAFD3175E5E}">
  <ds:schemaRefs/>
</ds:datastoreItem>
</file>

<file path=customXml/itemProps13.xml><?xml version="1.0" encoding="utf-8"?>
<ds:datastoreItem xmlns:ds="http://schemas.openxmlformats.org/officeDocument/2006/customXml" ds:itemID="{74E16FC9-0602-48E0-93DF-25F61C4DED91}">
  <ds:schemaRefs/>
</ds:datastoreItem>
</file>

<file path=customXml/itemProps14.xml><?xml version="1.0" encoding="utf-8"?>
<ds:datastoreItem xmlns:ds="http://schemas.openxmlformats.org/officeDocument/2006/customXml" ds:itemID="{19401911-DE5B-4D74-8743-7C911994D570}">
  <ds:schemaRefs/>
</ds:datastoreItem>
</file>

<file path=customXml/itemProps15.xml><?xml version="1.0" encoding="utf-8"?>
<ds:datastoreItem xmlns:ds="http://schemas.openxmlformats.org/officeDocument/2006/customXml" ds:itemID="{DC8C3322-D312-4003-81A3-9669D1BA036A}">
  <ds:schemaRefs/>
</ds:datastoreItem>
</file>

<file path=customXml/itemProps16.xml><?xml version="1.0" encoding="utf-8"?>
<ds:datastoreItem xmlns:ds="http://schemas.openxmlformats.org/officeDocument/2006/customXml" ds:itemID="{092F927E-C69D-4B2E-974E-CD4101894E5F}">
  <ds:schemaRefs/>
</ds:datastoreItem>
</file>

<file path=customXml/itemProps17.xml><?xml version="1.0" encoding="utf-8"?>
<ds:datastoreItem xmlns:ds="http://schemas.openxmlformats.org/officeDocument/2006/customXml" ds:itemID="{F464EA14-A76E-4C17-943C-65032DDDAD09}">
  <ds:schemaRefs/>
</ds:datastoreItem>
</file>

<file path=customXml/itemProps18.xml><?xml version="1.0" encoding="utf-8"?>
<ds:datastoreItem xmlns:ds="http://schemas.openxmlformats.org/officeDocument/2006/customXml" ds:itemID="{38DB44B8-0E4F-41BB-8A80-0BB41185042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80 CEREALS</vt:lpstr>
      <vt:lpstr>Nutrient Density</vt:lpstr>
      <vt:lpstr>WorkSheet</vt:lpstr>
      <vt:lpstr>Dashboard</vt:lpstr>
      <vt:lpstr>Detailed 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Shaban Elshaer</dc:creator>
  <cp:lastModifiedBy>Sara Shaban Elshaer</cp:lastModifiedBy>
  <dcterms:created xsi:type="dcterms:W3CDTF">2024-10-12T04:42:27Z</dcterms:created>
  <dcterms:modified xsi:type="dcterms:W3CDTF">2024-10-13T08:30:18Z</dcterms:modified>
</cp:coreProperties>
</file>